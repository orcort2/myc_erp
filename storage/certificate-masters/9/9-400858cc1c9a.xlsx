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.shortcut-targets-by-id\1M6xMGmeT2BnrSGGS9AEz7Yrmry8JIA-R\INFORMES GENERALES\INFORMES DE CALIBRACION 2026\NBF FOODS\JULIO\6339\"/>
    </mc:Choice>
  </mc:AlternateContent>
  <xr:revisionPtr revIDLastSave="0" documentId="13_ncr:1_{03492C35-B1A9-46D6-9067-6C078241292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Valvula de seguridad" sheetId="1" r:id="rId1"/>
    <sheet name="Registro de clientes" sheetId="2" r:id="rId2"/>
  </sheets>
  <externalReferences>
    <externalReference r:id="rId3"/>
  </externalReferences>
  <definedNames>
    <definedName name="_xlnm.Print_Area" localSheetId="0">'Valvula de seguridad'!$A$1:$J$186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1" l="1"/>
  <c r="D31" i="1"/>
  <c r="N80" i="1"/>
  <c r="N79" i="1"/>
  <c r="K80" i="1" l="1"/>
  <c r="L79" i="1" l="1"/>
  <c r="M79" i="1" s="1"/>
  <c r="I79" i="1" l="1"/>
  <c r="I80" i="1"/>
  <c r="O80" i="1" l="1"/>
  <c r="O79" i="1"/>
  <c r="K79" i="1" l="1"/>
  <c r="L80" i="1"/>
  <c r="D85" i="1" l="1"/>
  <c r="D86" i="1"/>
  <c r="F86" i="1" s="1"/>
  <c r="Q74" i="1"/>
  <c r="Q73" i="1"/>
  <c r="Q72" i="1"/>
  <c r="Q71" i="1"/>
  <c r="Q70" i="1"/>
  <c r="P80" i="1"/>
  <c r="P79" i="1"/>
  <c r="M80" i="1"/>
  <c r="Q80" i="1" l="1"/>
  <c r="S80" i="1" s="1"/>
  <c r="J80" i="1" s="1"/>
  <c r="Q79" i="1"/>
  <c r="S79" i="1" s="1"/>
  <c r="J79" i="1" s="1"/>
  <c r="E85" i="1"/>
  <c r="E86" i="1"/>
  <c r="H86" i="1" s="1"/>
  <c r="F85" i="1"/>
  <c r="H85" i="1" l="1"/>
  <c r="I73" i="1"/>
</calcChain>
</file>

<file path=xl/sharedStrings.xml><?xml version="1.0" encoding="utf-8"?>
<sst xmlns="http://schemas.openxmlformats.org/spreadsheetml/2006/main" count="239" uniqueCount="202">
  <si>
    <t>Instrumento:</t>
  </si>
  <si>
    <t>Modelo:</t>
  </si>
  <si>
    <t>No. de Serie:</t>
  </si>
  <si>
    <t>Div. Mínima:</t>
  </si>
  <si>
    <t>Vigencia:</t>
  </si>
  <si>
    <t>Marca:</t>
  </si>
  <si>
    <t>Fecha de recepción:</t>
  </si>
  <si>
    <t>Fecha de calibración:</t>
  </si>
  <si>
    <t>Folio:</t>
  </si>
  <si>
    <t>Condiciones ambientales</t>
  </si>
  <si>
    <t>Humedad relativa:</t>
  </si>
  <si>
    <t>Temperatura Inicio:</t>
  </si>
  <si>
    <t>Temperatura final:</t>
  </si>
  <si>
    <t>Procedimiento:</t>
  </si>
  <si>
    <t>Instrumento a calibrar</t>
  </si>
  <si>
    <t>Método:</t>
  </si>
  <si>
    <t>Comparación directa</t>
  </si>
  <si>
    <t>Norma:</t>
  </si>
  <si>
    <t>Orden de trabajo:</t>
  </si>
  <si>
    <t>Certificate No.</t>
  </si>
  <si>
    <t>Work Order</t>
  </si>
  <si>
    <t>Manufacturer</t>
  </si>
  <si>
    <t>Resolution</t>
  </si>
  <si>
    <t>Serial No.</t>
  </si>
  <si>
    <t>Model</t>
  </si>
  <si>
    <t>ID</t>
  </si>
  <si>
    <t>Reception date</t>
  </si>
  <si>
    <t>Calibration date</t>
  </si>
  <si>
    <t>Next calibration</t>
  </si>
  <si>
    <t>Master</t>
  </si>
  <si>
    <t>Serial Number</t>
  </si>
  <si>
    <t>Next calibration date</t>
  </si>
  <si>
    <t>Environmental conditions</t>
  </si>
  <si>
    <t>Relative humidity</t>
  </si>
  <si>
    <t>Final temperature</t>
  </si>
  <si>
    <t>Procedure</t>
  </si>
  <si>
    <t>Norm</t>
  </si>
  <si>
    <t>Instrument</t>
  </si>
  <si>
    <t>Próxima calibración:</t>
  </si>
  <si>
    <t xml:space="preserve">interval </t>
  </si>
  <si>
    <r>
      <rPr>
        <sz val="9"/>
        <color theme="1"/>
        <rFont val="Calibri"/>
        <family val="2"/>
      </rPr>
      <t xml:space="preserve">●      </t>
    </r>
    <r>
      <rPr>
        <sz val="9"/>
        <color theme="1"/>
        <rFont val="Calibri"/>
        <family val="2"/>
        <scheme val="minor"/>
      </rPr>
      <t>La calibración fue realizada bajo procedimientos internos, elaborados en referencia a normas nacionales e internacionales  asegurando</t>
    </r>
  </si>
  <si>
    <r>
      <rPr>
        <sz val="9"/>
        <color theme="1"/>
        <rFont val="Calibri"/>
        <family val="2"/>
      </rPr>
      <t xml:space="preserve">●         </t>
    </r>
    <r>
      <rPr>
        <sz val="9"/>
        <color theme="1"/>
        <rFont val="Calibri"/>
        <family val="2"/>
        <scheme val="minor"/>
      </rPr>
      <t xml:space="preserve">This certificate covers only the results and measurements reported in it, it is only valid in its original form and its reproduction is </t>
    </r>
  </si>
  <si>
    <t>prohibited without their consent.</t>
  </si>
  <si>
    <t xml:space="preserve">Units </t>
  </si>
  <si>
    <t>Unidades:</t>
  </si>
  <si>
    <t>●    The calibration was carried out under internal procedures, elaborated reference to national and international standards,</t>
  </si>
  <si>
    <t>Observaciones:</t>
  </si>
  <si>
    <t>Observations</t>
  </si>
  <si>
    <t>Method</t>
  </si>
  <si>
    <t>Direct comparison</t>
  </si>
  <si>
    <t>Revisó  /  Revised</t>
  </si>
  <si>
    <t>Página  /  Page 1 de 2</t>
  </si>
  <si>
    <t>Initial temperature</t>
  </si>
  <si>
    <t>su calidad y funcionamiento.</t>
  </si>
  <si>
    <r>
      <rPr>
        <sz val="9"/>
        <color theme="1"/>
        <rFont val="Calibri"/>
        <family val="2"/>
      </rPr>
      <t xml:space="preserve">●         </t>
    </r>
    <r>
      <rPr>
        <sz val="9"/>
        <color theme="1"/>
        <rFont val="Calibri"/>
        <family val="2"/>
        <scheme val="minor"/>
      </rPr>
      <t xml:space="preserve">El presente certificado ampara sólo los resultados y mediciones reportados  en el mismo, únicamente tiene validez en su forma original y </t>
    </r>
  </si>
  <si>
    <t>ensuring its quality and functioning.</t>
  </si>
  <si>
    <t>Calibration Results</t>
  </si>
  <si>
    <t xml:space="preserve">     Calibration Certificate</t>
  </si>
  <si>
    <t xml:space="preserve">            Traceability letter</t>
  </si>
  <si>
    <r>
      <t xml:space="preserve">Valores Medidos Patrón /  </t>
    </r>
    <r>
      <rPr>
        <b/>
        <sz val="9"/>
        <color theme="1"/>
        <rFont val="Calibri"/>
        <family val="2"/>
        <scheme val="minor"/>
      </rPr>
      <t>Measured values pattern</t>
    </r>
  </si>
  <si>
    <r>
      <rPr>
        <sz val="9"/>
        <color theme="1"/>
        <rFont val="Calibri"/>
        <family val="2"/>
      </rPr>
      <t xml:space="preserve">●      </t>
    </r>
    <r>
      <rPr>
        <sz val="9"/>
        <color theme="1"/>
        <rFont val="Calibri"/>
        <family val="2"/>
        <scheme val="minor"/>
      </rPr>
      <t>La incertidumbre de la medición se reporta como una incertidumbre expandida con un factor de cobertura K=2 (95.45%),</t>
    </r>
  </si>
  <si>
    <t>Instrumento de referencia</t>
  </si>
  <si>
    <t>Reference instrument</t>
  </si>
  <si>
    <r>
      <rPr>
        <b/>
        <sz val="14"/>
        <color theme="1"/>
        <rFont val="Calibri"/>
        <family val="2"/>
        <scheme val="minor"/>
      </rPr>
      <t xml:space="preserve">Datos del usuario  /  </t>
    </r>
    <r>
      <rPr>
        <b/>
        <sz val="10"/>
        <color theme="1"/>
        <rFont val="Calibri"/>
        <family val="2"/>
        <scheme val="minor"/>
      </rPr>
      <t>User data</t>
    </r>
  </si>
  <si>
    <t>Observaciones  /  Observations</t>
  </si>
  <si>
    <t>FCA-15-17</t>
  </si>
  <si>
    <t>R 1</t>
  </si>
  <si>
    <t>Fin del certificado</t>
  </si>
  <si>
    <t>End of the Certificate</t>
  </si>
  <si>
    <t>Instrument under calibration</t>
  </si>
  <si>
    <r>
      <t xml:space="preserve">Primera   /  </t>
    </r>
    <r>
      <rPr>
        <b/>
        <sz val="9"/>
        <color theme="1"/>
        <rFont val="Calibri"/>
        <family val="2"/>
        <scheme val="minor"/>
      </rPr>
      <t>First</t>
    </r>
  </si>
  <si>
    <r>
      <t xml:space="preserve">Segunda  /  </t>
    </r>
    <r>
      <rPr>
        <b/>
        <sz val="9"/>
        <color theme="1"/>
        <rFont val="Calibri"/>
        <family val="2"/>
        <scheme val="minor"/>
      </rPr>
      <t>Second</t>
    </r>
  </si>
  <si>
    <r>
      <t xml:space="preserve">Tercera  / </t>
    </r>
    <r>
      <rPr>
        <b/>
        <sz val="9"/>
        <color theme="1"/>
        <rFont val="Calibri"/>
        <family val="2"/>
        <scheme val="minor"/>
      </rPr>
      <t>Third</t>
    </r>
  </si>
  <si>
    <t>Disparo</t>
  </si>
  <si>
    <t>Cierre</t>
  </si>
  <si>
    <t>Tolerancias Norma NOM-093-SCFI-1994</t>
  </si>
  <si>
    <r>
      <t xml:space="preserve">Presión                       </t>
    </r>
    <r>
      <rPr>
        <b/>
        <sz val="8"/>
        <color theme="1"/>
        <rFont val="Calibri"/>
        <family val="2"/>
        <scheme val="minor"/>
      </rPr>
      <t>Pressure</t>
    </r>
  </si>
  <si>
    <r>
      <t>Tolerancia</t>
    </r>
    <r>
      <rPr>
        <b/>
        <sz val="11"/>
        <color theme="1"/>
        <rFont val="Calibri"/>
        <family val="2"/>
      </rPr>
      <t>±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8"/>
        <color theme="1"/>
        <rFont val="Calibri"/>
        <family val="2"/>
        <scheme val="minor"/>
      </rPr>
      <t xml:space="preserve">Tolerance </t>
    </r>
    <r>
      <rPr>
        <b/>
        <sz val="8"/>
        <color theme="1"/>
        <rFont val="Calibri"/>
        <family val="2"/>
      </rPr>
      <t>±</t>
    </r>
  </si>
  <si>
    <r>
      <t xml:space="preserve">Promedio </t>
    </r>
    <r>
      <rPr>
        <b/>
        <sz val="8"/>
        <color theme="1"/>
        <rFont val="Calibri"/>
        <family val="2"/>
        <scheme val="minor"/>
      </rPr>
      <t>Average</t>
    </r>
  </si>
  <si>
    <r>
      <t xml:space="preserve">Tolerancia -  </t>
    </r>
    <r>
      <rPr>
        <b/>
        <sz val="8"/>
        <color theme="1"/>
        <rFont val="Calibri"/>
        <family val="2"/>
        <scheme val="minor"/>
      </rPr>
      <t>Tolerance -</t>
    </r>
  </si>
  <si>
    <r>
      <t xml:space="preserve">Aprobación  </t>
    </r>
    <r>
      <rPr>
        <b/>
        <sz val="8"/>
        <color theme="1"/>
        <rFont val="Calibri"/>
        <family val="2"/>
        <scheme val="minor"/>
      </rPr>
      <t>Approval</t>
    </r>
  </si>
  <si>
    <t>psi</t>
  </si>
  <si>
    <t>Resultados de la calibración</t>
  </si>
  <si>
    <t>calculada en base a la guía NMX-CH-140-INMC-2002.</t>
  </si>
  <si>
    <t xml:space="preserve"> calculated based on the guide NMX-CH-140-INMC-2002.</t>
  </si>
  <si>
    <r>
      <t xml:space="preserve"> </t>
    </r>
    <r>
      <rPr>
        <sz val="9"/>
        <color theme="1"/>
        <rFont val="Calibri"/>
        <family val="2"/>
      </rPr>
      <t>●   The results of the calibration issued traceable to primary standards by the National Institute of Metrology (CENAM),</t>
    </r>
  </si>
  <si>
    <t>Carta de Trazabilidad</t>
  </si>
  <si>
    <t xml:space="preserve">MEDIA </t>
  </si>
  <si>
    <t>S=DESVSTD</t>
  </si>
  <si>
    <t>K</t>
  </si>
  <si>
    <t>CERTIFICADO DE CALIBRACIÓN</t>
  </si>
  <si>
    <t>uRep</t>
  </si>
  <si>
    <t>u P</t>
  </si>
  <si>
    <t>uresIBC</t>
  </si>
  <si>
    <t>uresP</t>
  </si>
  <si>
    <t>uc</t>
  </si>
  <si>
    <t>UE</t>
  </si>
  <si>
    <t>Hathaway</t>
  </si>
  <si>
    <t>Intervalo:</t>
  </si>
  <si>
    <t>Identificación:</t>
  </si>
  <si>
    <t>No. de Certificado:</t>
  </si>
  <si>
    <t>Incertidumbre:</t>
  </si>
  <si>
    <r>
      <t xml:space="preserve">Presión </t>
    </r>
    <r>
      <rPr>
        <b/>
        <sz val="9"/>
        <color theme="1"/>
        <rFont val="Calibri"/>
        <family val="2"/>
        <scheme val="minor"/>
      </rPr>
      <t>Pressure</t>
    </r>
  </si>
  <si>
    <t>(psi a kg/cm2)</t>
  </si>
  <si>
    <t>Página  /  Page 2 de 2</t>
  </si>
  <si>
    <t>●   The uncertainty of the measurement is reported as an expanded uncertainty with a coverage factor of K=2  (95.45 % ),</t>
  </si>
  <si>
    <t>National Institute of Standars and Technology (NIST).</t>
  </si>
  <si>
    <t>National Institute of Standars and Tecnology (NIST).</t>
  </si>
  <si>
    <t>Error de indicación Indication error</t>
  </si>
  <si>
    <t>Uncertainty</t>
  </si>
  <si>
    <t>Calibró Técnico  /  Calibrating Technician</t>
  </si>
  <si>
    <t>Histéresis</t>
  </si>
  <si>
    <t>se prohíbe la reproducción del mismo sin el consentimiento por parte de este laboratorio.</t>
  </si>
  <si>
    <r>
      <t xml:space="preserve"> </t>
    </r>
    <r>
      <rPr>
        <sz val="9"/>
        <color theme="1"/>
        <rFont val="Calibri"/>
        <family val="2"/>
      </rPr>
      <t xml:space="preserve">●       </t>
    </r>
    <r>
      <rPr>
        <sz val="9"/>
        <color theme="1"/>
        <rFont val="Calibri"/>
        <family val="2"/>
        <scheme val="minor"/>
      </rPr>
      <t xml:space="preserve">Los resultados de la calibración emitidos son trazables a patrones primarios  por el Instituto Nacional de Metrología (CENAM), </t>
    </r>
  </si>
  <si>
    <t>Calibrador de presión</t>
  </si>
  <si>
    <t xml:space="preserve">Empresa / Company: </t>
  </si>
  <si>
    <t xml:space="preserve">Dirección / Address: </t>
  </si>
  <si>
    <t>N° Cliente</t>
  </si>
  <si>
    <t>Para cambiar de Cliente revisar: registro de clientes</t>
  </si>
  <si>
    <t>Considerar las desviaciones</t>
  </si>
  <si>
    <t>Equipo en buen estado general</t>
  </si>
  <si>
    <t>Se recibe el equipo dentro de tolerancias y se entrega el mismo dentro de tolerancias</t>
  </si>
  <si>
    <t>Consider the deviations</t>
  </si>
  <si>
    <t>Equipment in good general condition</t>
  </si>
  <si>
    <t>The equipment is received within tolerances and is delivered within tolerances</t>
  </si>
  <si>
    <t>Cliente</t>
  </si>
  <si>
    <t>contacto</t>
  </si>
  <si>
    <t>direccion</t>
  </si>
  <si>
    <t>Honda de México S.A. de C.V.</t>
  </si>
  <si>
    <t>Yolanda Yebra</t>
  </si>
  <si>
    <t>Carretera al castillo #7250, Parque Industrial, El Salto, Jalisco.</t>
  </si>
  <si>
    <t>Gustavo Rosales</t>
  </si>
  <si>
    <t>Edson Campos</t>
  </si>
  <si>
    <t>Carretera  Libramiento sur km 6, Col. La Luz, C.P. 38140, Celaya, Guanajuato.</t>
  </si>
  <si>
    <t>Gonzalo Juarez</t>
  </si>
  <si>
    <t>Advantia Industrial Service S. de RL. De C.V</t>
  </si>
  <si>
    <t xml:space="preserve">Av.de la Convención 1914 ote #701 Int.6 Aguascalientes, Aguascalientes. </t>
  </si>
  <si>
    <t>Agua Azul Motors S.A. de C.V.</t>
  </si>
  <si>
    <t>Daniel Santana.</t>
  </si>
  <si>
    <t>Calz. Jesús González Gallo No. 450, La Aurora, C.P. 44100, Guadalajara Jalisco.</t>
  </si>
  <si>
    <t>Amarox Pharma S.A. de C.V.</t>
  </si>
  <si>
    <t xml:space="preserve"> Avenida de los 50 metros #402, Col. Civac, C.P. 62578, Jiutepec, Morelos.</t>
  </si>
  <si>
    <t xml:space="preserve"> Audi Center Beckve  S.A. de C.V.</t>
  </si>
  <si>
    <t>Fabiola Valenzuela.</t>
  </si>
  <si>
    <t>Av. Patria 2112, Santa Isabel, 45110 Zapopan, Jal.</t>
  </si>
  <si>
    <t>Despacho de Ingenieria y Muestreos Ambientales S.A. de C.V.</t>
  </si>
  <si>
    <t>Martin Roberto Sandoval Rojo</t>
  </si>
  <si>
    <t>Isla Cartagena N° 2950, Col. Jardnines de la Cruz, C.P. 44950, Guadlajara Jalisco</t>
  </si>
  <si>
    <t>Acreditación / Acreditation: 88795</t>
  </si>
  <si>
    <t>BETAPORT-P</t>
  </si>
  <si>
    <t>Lugar de calibración:</t>
  </si>
  <si>
    <t>Calibration location</t>
  </si>
  <si>
    <t>Resolución:</t>
  </si>
  <si>
    <t>Interval</t>
  </si>
  <si>
    <t>Fecha de emisión:</t>
  </si>
  <si>
    <t>Date of issue</t>
  </si>
  <si>
    <t>kg/cm²</t>
  </si>
  <si>
    <t>PMP-01-01: Procedimiento para realizar la Calibración a Válvulas Reguladoras y de Control</t>
  </si>
  <si>
    <t>PMP-01-01: Procedure to perform the Calibration to Regulating and Control Valves</t>
  </si>
  <si>
    <t>NOM-093-SCFI</t>
  </si>
  <si>
    <t>Medida:</t>
  </si>
  <si>
    <t>Measure:</t>
  </si>
  <si>
    <t>Calibración:</t>
  </si>
  <si>
    <t xml:space="preserve">
Calibration</t>
  </si>
  <si>
    <t>Nota: TAG: 04.019, CATEGORIA: III, FLUIDO: VAPOR.</t>
  </si>
  <si>
    <t>Nota: TAG: 32.001, CATEGORIA: III, FLUIDO: VAPOR.</t>
  </si>
  <si>
    <t>Nota: TAG: 33.001, CATEGORIA: III, FLUIDO: VAPOR.</t>
  </si>
  <si>
    <t>Nota: TAG: 33.002, CATEGORIA: III, FLUIDO: VAPOR.</t>
  </si>
  <si>
    <t>Nota: TAG: 34.001, CATEGORIA: III, FLUIDO: VAPOR.</t>
  </si>
  <si>
    <t>Nota: TAG: 34.002, CATEGORIA: III, FLUIDO: VAPOR.</t>
  </si>
  <si>
    <t>Valvula de Seguridad</t>
  </si>
  <si>
    <r>
      <t xml:space="preserve">Tolerancia + </t>
    </r>
    <r>
      <rPr>
        <b/>
        <sz val="8"/>
        <color theme="1"/>
        <rFont val="Calibri"/>
        <family val="2"/>
        <scheme val="minor"/>
      </rPr>
      <t>Tolerance +</t>
    </r>
  </si>
  <si>
    <t>Miguel Angel Muñoz Torres</t>
  </si>
  <si>
    <r>
      <t>0 - 500  psi ( 0 - 35.1535 kg/cm</t>
    </r>
    <r>
      <rPr>
        <u/>
        <sz val="11"/>
        <color theme="1"/>
        <rFont val="Calibri"/>
        <family val="2"/>
      </rPr>
      <t>² )</t>
    </r>
  </si>
  <si>
    <t>PRESS-14</t>
  </si>
  <si>
    <t xml:space="preserve"> </t>
  </si>
  <si>
    <t>Vayremex</t>
  </si>
  <si>
    <r>
      <t xml:space="preserve">Referencia [psi]                           </t>
    </r>
    <r>
      <rPr>
        <b/>
        <sz val="9"/>
        <color theme="1"/>
        <rFont val="Calibri"/>
        <family val="2"/>
        <scheme val="minor"/>
      </rPr>
      <t>Reference [psi]</t>
    </r>
  </si>
  <si>
    <t>Incertidumbre [kg/cm²]           uncertainty  [kg/cm²]</t>
  </si>
  <si>
    <t>Ubicación:</t>
  </si>
  <si>
    <t>Location:</t>
  </si>
  <si>
    <t>ID:</t>
  </si>
  <si>
    <t xml:space="preserve">Atención / Attention: </t>
  </si>
  <si>
    <t>Miguel Felipe Ordaz Higareda</t>
  </si>
  <si>
    <t>METROLOGIA Y SERVICIOS MYC S.A. DE C.V.</t>
  </si>
  <si>
    <t>Isla Martinica # 2710, Col. Jardines de la Cruz, C.P. 44950 Guadalajara, Jalisco</t>
  </si>
  <si>
    <t>Tel. 01 (33) 5009-2659        monse.cortes@mycmetrology.com.mx</t>
  </si>
  <si>
    <t>Certificado / Certificate: L25-313</t>
  </si>
  <si>
    <t xml:space="preserve">●  Este informe fue elaborado por Metrologia y Servicios MYC  S.A. de C.V. </t>
  </si>
  <si>
    <t xml:space="preserve">●   This report was prepared by Metrologia y Servicios MYC  S.A. de C.V. </t>
  </si>
  <si>
    <t>10.5 kg</t>
  </si>
  <si>
    <t>No disponible</t>
  </si>
  <si>
    <t>IBC-C-P-0678-2025</t>
  </si>
  <si>
    <t>Laboratorio</t>
  </si>
  <si>
    <t>Caldera</t>
  </si>
  <si>
    <t xml:space="preserve">Av. Jalisco #1924, Bodega 26, Col. San Francisco Tesistan, Capital Parque Super Manzana, </t>
  </si>
  <si>
    <t>C.P.45200, Tesistán, Jalisco</t>
  </si>
  <si>
    <t>MYCA-07-26-4321</t>
  </si>
  <si>
    <t>VS-NBF-03</t>
  </si>
  <si>
    <t>6.7</t>
  </si>
  <si>
    <t>1 1/4 X 1 1/4</t>
  </si>
  <si>
    <t>Lupita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</si>
</sst>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000000000"/>
    <numFmt numFmtId="166" formatCode="0.0000000"/>
    <numFmt numFmtId="167" formatCode="0.0000"/>
    <numFmt numFmtId="168" formatCode="0.0\°\C"/>
    <numFmt numFmtId="169" formatCode="yyyy\-mm\-dd;@"/>
    <numFmt numFmtId="170" formatCode="0.0"/>
    <numFmt numFmtId="171" formatCode="0.0%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33CC"/>
      <name val="Eras Medium ITC"/>
      <family val="2"/>
    </font>
    <font>
      <b/>
      <sz val="10"/>
      <name val="Eras Medium ITC"/>
      <family val="2"/>
    </font>
    <font>
      <sz val="9"/>
      <name val="Eras Medium ITC"/>
      <family val="2"/>
    </font>
    <font>
      <sz val="10"/>
      <name val="Eras Medium ITC"/>
      <family val="2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name val="Arial"/>
      <family val="2"/>
    </font>
    <font>
      <sz val="7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20"/>
      <color theme="4" tint="-0.249977111117893"/>
      <name val="Arial Rounded MT Bold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4" tint="-0.249977111117893"/>
      <name val="Arial Rounded MT Bold"/>
      <family val="2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</font>
    <font>
      <b/>
      <sz val="16"/>
      <color theme="4" tint="-0.249977111117893"/>
      <name val="Arial Rounded MT Bold"/>
      <family val="2"/>
    </font>
    <font>
      <b/>
      <i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 Black"/>
      <family val="2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Arial Black"/>
      <family val="2"/>
    </font>
    <font>
      <b/>
      <sz val="8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</font>
    <font>
      <b/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sz val="12"/>
      <name val="Arial Black"/>
      <family val="2"/>
    </font>
    <font>
      <b/>
      <u/>
      <sz val="12"/>
      <color theme="1"/>
      <name val="Arial Black"/>
      <family val="2"/>
    </font>
    <font>
      <u/>
      <sz val="11"/>
      <name val="Calibri"/>
      <family val="2"/>
      <scheme val="minor"/>
    </font>
    <font>
      <sz val="11"/>
      <color rgb="FFFF3F3F"/>
      <name val="Calibri"/>
      <family val="2"/>
      <scheme val="minor"/>
    </font>
    <font>
      <b/>
      <sz val="11"/>
      <color rgb="FFFF3F3F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sz val="8"/>
      <color rgb="FF202124"/>
      <name val="Arial"/>
      <family val="2"/>
    </font>
    <font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3" xfId="0" applyBorder="1"/>
    <xf numFmtId="0" fontId="9" fillId="0" borderId="0" xfId="0" applyFont="1"/>
    <xf numFmtId="0" fontId="8" fillId="2" borderId="0" xfId="0" applyFont="1" applyFill="1"/>
    <xf numFmtId="0" fontId="7" fillId="0" borderId="0" xfId="0" applyFont="1"/>
    <xf numFmtId="0" fontId="1" fillId="0" borderId="0" xfId="0" applyFont="1" applyAlignment="1">
      <alignment vertical="center" wrapText="1"/>
    </xf>
    <xf numFmtId="164" fontId="0" fillId="0" borderId="0" xfId="0" applyNumberFormat="1"/>
    <xf numFmtId="164" fontId="9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6" fillId="0" borderId="0" xfId="0" applyFont="1"/>
    <xf numFmtId="0" fontId="14" fillId="0" borderId="0" xfId="0" applyFont="1"/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4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8" xfId="0" applyBorder="1"/>
    <xf numFmtId="0" fontId="16" fillId="0" borderId="0" xfId="0" applyFont="1" applyAlignment="1">
      <alignment horizontal="center" wrapText="1"/>
    </xf>
    <xf numFmtId="0" fontId="17" fillId="0" borderId="0" xfId="0" applyFont="1"/>
    <xf numFmtId="0" fontId="16" fillId="0" borderId="7" xfId="0" applyFont="1" applyBorder="1"/>
    <xf numFmtId="0" fontId="0" fillId="0" borderId="2" xfId="0" applyBorder="1"/>
    <xf numFmtId="0" fontId="12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5" fillId="0" borderId="0" xfId="0" applyFont="1"/>
    <xf numFmtId="0" fontId="25" fillId="0" borderId="0" xfId="0" applyFont="1" applyAlignment="1">
      <alignment horizontal="right"/>
    </xf>
    <xf numFmtId="0" fontId="10" fillId="0" borderId="0" xfId="0" applyFont="1" applyAlignment="1">
      <alignment vertical="center"/>
    </xf>
    <xf numFmtId="0" fontId="18" fillId="0" borderId="0" xfId="0" applyFont="1" applyAlignment="1">
      <alignment wrapText="1"/>
    </xf>
    <xf numFmtId="0" fontId="0" fillId="0" borderId="0" xfId="0" applyAlignment="1">
      <alignment horizontal="center"/>
    </xf>
    <xf numFmtId="0" fontId="22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3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2" fillId="0" borderId="0" xfId="0" applyFont="1"/>
    <xf numFmtId="0" fontId="11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/>
    <xf numFmtId="166" fontId="9" fillId="0" borderId="0" xfId="0" applyNumberFormat="1" applyFont="1" applyAlignment="1">
      <alignment horizontal="center"/>
    </xf>
    <xf numFmtId="0" fontId="16" fillId="0" borderId="0" xfId="0" applyFont="1" applyProtection="1">
      <protection locked="0"/>
    </xf>
    <xf numFmtId="0" fontId="1" fillId="0" borderId="7" xfId="0" applyFont="1" applyBorder="1"/>
    <xf numFmtId="0" fontId="0" fillId="0" borderId="0" xfId="0" applyAlignment="1">
      <alignment horizontal="left"/>
    </xf>
    <xf numFmtId="168" fontId="0" fillId="0" borderId="0" xfId="0" applyNumberFormat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1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1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/>
    <xf numFmtId="1" fontId="0" fillId="0" borderId="12" xfId="0" applyNumberFormat="1" applyBorder="1" applyAlignment="1" applyProtection="1">
      <alignment horizontal="center" vertical="center"/>
      <protection locked="0"/>
    </xf>
    <xf numFmtId="9" fontId="0" fillId="0" borderId="4" xfId="0" applyNumberFormat="1" applyBorder="1" applyAlignment="1" applyProtection="1">
      <alignment horizontal="center" vertical="center"/>
      <protection locked="0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18" fillId="0" borderId="7" xfId="0" applyFont="1" applyBorder="1" applyAlignment="1">
      <alignment horizontal="left"/>
    </xf>
    <xf numFmtId="0" fontId="18" fillId="0" borderId="0" xfId="0" applyFont="1" applyAlignment="1">
      <alignment horizontal="right"/>
    </xf>
    <xf numFmtId="0" fontId="7" fillId="0" borderId="14" xfId="0" applyFont="1" applyBorder="1" applyAlignment="1">
      <alignment horizontal="left"/>
    </xf>
    <xf numFmtId="0" fontId="26" fillId="0" borderId="7" xfId="0" applyFont="1" applyBorder="1" applyAlignment="1">
      <alignment horizontal="left" vertical="center"/>
    </xf>
    <xf numFmtId="0" fontId="26" fillId="0" borderId="7" xfId="0" applyFont="1" applyBorder="1" applyAlignment="1">
      <alignment horizontal="left"/>
    </xf>
    <xf numFmtId="0" fontId="0" fillId="0" borderId="15" xfId="0" applyBorder="1"/>
    <xf numFmtId="0" fontId="24" fillId="0" borderId="0" xfId="0" applyFont="1"/>
    <xf numFmtId="0" fontId="27" fillId="0" borderId="0" xfId="0" applyFont="1"/>
    <xf numFmtId="0" fontId="21" fillId="0" borderId="0" xfId="0" applyFont="1"/>
    <xf numFmtId="0" fontId="0" fillId="0" borderId="19" xfId="0" applyBorder="1"/>
    <xf numFmtId="0" fontId="3" fillId="0" borderId="14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1" fillId="0" borderId="14" xfId="0" applyFont="1" applyBorder="1" applyAlignment="1">
      <alignment horizontal="center"/>
    </xf>
    <xf numFmtId="0" fontId="11" fillId="0" borderId="14" xfId="0" applyFont="1" applyBorder="1"/>
    <xf numFmtId="0" fontId="0" fillId="0" borderId="20" xfId="0" applyBorder="1"/>
    <xf numFmtId="168" fontId="0" fillId="0" borderId="14" xfId="0" applyNumberFormat="1" applyBorder="1" applyAlignment="1" applyProtection="1">
      <alignment horizontal="left"/>
      <protection locked="0"/>
    </xf>
    <xf numFmtId="0" fontId="0" fillId="0" borderId="21" xfId="0" applyBorder="1" applyAlignment="1">
      <alignment horizontal="center"/>
    </xf>
    <xf numFmtId="0" fontId="4" fillId="0" borderId="20" xfId="0" applyFont="1" applyBorder="1" applyAlignment="1">
      <alignment horizontal="right" vertical="center"/>
    </xf>
    <xf numFmtId="0" fontId="11" fillId="0" borderId="19" xfId="0" applyFont="1" applyBorder="1" applyAlignment="1">
      <alignment horizontal="center"/>
    </xf>
    <xf numFmtId="0" fontId="15" fillId="0" borderId="14" xfId="0" applyFont="1" applyBorder="1"/>
    <xf numFmtId="0" fontId="0" fillId="0" borderId="15" xfId="0" applyBorder="1" applyAlignment="1">
      <alignment horizontal="center" vertical="center"/>
    </xf>
    <xf numFmtId="1" fontId="0" fillId="0" borderId="7" xfId="0" applyNumberFormat="1" applyBorder="1" applyAlignment="1" applyProtection="1">
      <alignment horizontal="center" vertical="center"/>
      <protection locked="0"/>
    </xf>
    <xf numFmtId="167" fontId="0" fillId="0" borderId="14" xfId="0" applyNumberFormat="1" applyBorder="1" applyAlignment="1">
      <alignment horizontal="center" vertical="center"/>
    </xf>
    <xf numFmtId="0" fontId="16" fillId="0" borderId="14" xfId="0" applyFont="1" applyBorder="1"/>
    <xf numFmtId="0" fontId="1" fillId="0" borderId="14" xfId="0" applyFont="1" applyBorder="1"/>
    <xf numFmtId="0" fontId="0" fillId="0" borderId="20" xfId="0" applyBorder="1" applyAlignment="1">
      <alignment horizontal="right"/>
    </xf>
    <xf numFmtId="167" fontId="0" fillId="0" borderId="16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4" borderId="26" xfId="0" applyFont="1" applyFill="1" applyBorder="1" applyAlignment="1">
      <alignment horizontal="center"/>
    </xf>
    <xf numFmtId="164" fontId="1" fillId="4" borderId="27" xfId="0" applyNumberFormat="1" applyFont="1" applyFill="1" applyBorder="1" applyAlignment="1">
      <alignment horizontal="center"/>
    </xf>
    <xf numFmtId="167" fontId="0" fillId="0" borderId="30" xfId="0" applyNumberFormat="1" applyBorder="1" applyAlignment="1">
      <alignment horizontal="center"/>
    </xf>
    <xf numFmtId="14" fontId="1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169" fontId="6" fillId="0" borderId="0" xfId="0" applyNumberFormat="1" applyFont="1" applyAlignment="1">
      <alignment horizontal="left"/>
    </xf>
    <xf numFmtId="0" fontId="3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39" fillId="0" borderId="26" xfId="0" applyFont="1" applyBorder="1" applyAlignment="1">
      <alignment horizontal="center" vertical="center"/>
    </xf>
    <xf numFmtId="0" fontId="0" fillId="5" borderId="16" xfId="0" applyFill="1" applyBorder="1" applyAlignment="1">
      <alignment horizontal="center"/>
    </xf>
    <xf numFmtId="0" fontId="0" fillId="5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27" fillId="0" borderId="14" xfId="0" applyFont="1" applyBorder="1" applyAlignment="1">
      <alignment vertical="center"/>
    </xf>
    <xf numFmtId="0" fontId="27" fillId="0" borderId="14" xfId="0" applyFont="1" applyBorder="1"/>
    <xf numFmtId="0" fontId="6" fillId="0" borderId="14" xfId="0" applyFont="1" applyBorder="1"/>
    <xf numFmtId="0" fontId="33" fillId="0" borderId="14" xfId="0" applyFont="1" applyBorder="1"/>
    <xf numFmtId="0" fontId="22" fillId="0" borderId="0" xfId="0" applyFont="1"/>
    <xf numFmtId="0" fontId="17" fillId="0" borderId="0" xfId="0" applyFont="1" applyAlignment="1">
      <alignment horizontal="left"/>
    </xf>
    <xf numFmtId="0" fontId="6" fillId="0" borderId="0" xfId="0" applyFont="1" applyProtection="1">
      <protection locked="0"/>
    </xf>
    <xf numFmtId="0" fontId="41" fillId="0" borderId="0" xfId="0" applyFont="1" applyAlignment="1">
      <alignment horizontal="left"/>
    </xf>
    <xf numFmtId="0" fontId="0" fillId="0" borderId="0" xfId="0" applyProtection="1">
      <protection locked="0"/>
    </xf>
    <xf numFmtId="14" fontId="0" fillId="0" borderId="0" xfId="0" applyNumberFormat="1" applyAlignment="1">
      <alignment horizontal="left"/>
    </xf>
    <xf numFmtId="0" fontId="19" fillId="0" borderId="0" xfId="0" applyFont="1"/>
    <xf numFmtId="0" fontId="6" fillId="0" borderId="0" xfId="0" applyFont="1" applyAlignment="1">
      <alignment vertical="center" wrapText="1"/>
    </xf>
    <xf numFmtId="0" fontId="0" fillId="0" borderId="14" xfId="0" applyBorder="1" applyAlignment="1">
      <alignment horizontal="left"/>
    </xf>
    <xf numFmtId="0" fontId="6" fillId="0" borderId="14" xfId="0" applyFont="1" applyBorder="1" applyAlignment="1" applyProtection="1">
      <alignment horizontal="left"/>
      <protection locked="0"/>
    </xf>
    <xf numFmtId="0" fontId="42" fillId="0" borderId="0" xfId="0" applyFont="1" applyAlignment="1">
      <alignment horizontal="right"/>
    </xf>
    <xf numFmtId="0" fontId="6" fillId="0" borderId="14" xfId="0" applyFont="1" applyBorder="1" applyProtection="1">
      <protection locked="0"/>
    </xf>
    <xf numFmtId="0" fontId="6" fillId="0" borderId="14" xfId="0" applyFont="1" applyBorder="1" applyAlignment="1" applyProtection="1">
      <alignment horizontal="left" vertical="center"/>
      <protection locked="0"/>
    </xf>
    <xf numFmtId="0" fontId="16" fillId="0" borderId="14" xfId="0" applyFont="1" applyBorder="1" applyAlignment="1">
      <alignment horizontal="left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/>
    <xf numFmtId="167" fontId="6" fillId="0" borderId="0" xfId="0" applyNumberFormat="1" applyFont="1" applyAlignment="1">
      <alignment horizontal="center"/>
    </xf>
    <xf numFmtId="0" fontId="16" fillId="0" borderId="3" xfId="0" applyFont="1" applyBorder="1" applyAlignment="1">
      <alignment horizontal="left"/>
    </xf>
    <xf numFmtId="0" fontId="1" fillId="6" borderId="14" xfId="0" applyFont="1" applyFill="1" applyBorder="1"/>
    <xf numFmtId="0" fontId="24" fillId="0" borderId="0" xfId="0" applyFont="1" applyAlignment="1">
      <alignment horizontal="right"/>
    </xf>
    <xf numFmtId="12" fontId="33" fillId="0" borderId="14" xfId="0" applyNumberFormat="1" applyFont="1" applyBorder="1" applyAlignment="1" applyProtection="1">
      <alignment horizontal="left"/>
      <protection locked="0"/>
    </xf>
    <xf numFmtId="171" fontId="0" fillId="0" borderId="0" xfId="0" applyNumberFormat="1" applyAlignment="1" applyProtection="1">
      <alignment horizontal="center"/>
      <protection locked="0"/>
    </xf>
    <xf numFmtId="1" fontId="0" fillId="0" borderId="38" xfId="0" applyNumberFormat="1" applyBorder="1" applyAlignment="1" applyProtection="1">
      <alignment horizontal="center" vertical="center"/>
      <protection locked="0"/>
    </xf>
    <xf numFmtId="2" fontId="0" fillId="0" borderId="25" xfId="0" applyNumberFormat="1" applyBorder="1" applyAlignment="1">
      <alignment horizontal="center" vertical="center"/>
    </xf>
    <xf numFmtId="1" fontId="0" fillId="0" borderId="17" xfId="0" applyNumberFormat="1" applyBorder="1" applyAlignment="1" applyProtection="1">
      <alignment horizontal="center" vertical="center"/>
      <protection locked="0"/>
    </xf>
    <xf numFmtId="2" fontId="0" fillId="0" borderId="18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49" fontId="6" fillId="0" borderId="0" xfId="0" applyNumberFormat="1" applyFont="1" applyAlignment="1">
      <alignment horizontal="left"/>
    </xf>
    <xf numFmtId="1" fontId="0" fillId="0" borderId="41" xfId="0" applyNumberFormat="1" applyBorder="1" applyAlignment="1" applyProtection="1">
      <alignment horizontal="center" vertical="center"/>
      <protection locked="0"/>
    </xf>
    <xf numFmtId="9" fontId="0" fillId="0" borderId="42" xfId="0" applyNumberFormat="1" applyBorder="1" applyAlignment="1" applyProtection="1">
      <alignment horizontal="center" vertical="center"/>
      <protection locked="0"/>
    </xf>
    <xf numFmtId="2" fontId="0" fillId="0" borderId="42" xfId="0" applyNumberFormat="1" applyBorder="1" applyAlignment="1" applyProtection="1">
      <alignment horizontal="center" vertical="center"/>
      <protection locked="0"/>
    </xf>
    <xf numFmtId="2" fontId="0" fillId="0" borderId="42" xfId="0" applyNumberFormat="1" applyBorder="1" applyAlignment="1">
      <alignment horizontal="center"/>
    </xf>
    <xf numFmtId="0" fontId="0" fillId="0" borderId="43" xfId="0" applyBorder="1" applyAlignment="1">
      <alignment horizontal="center" vertical="center"/>
    </xf>
    <xf numFmtId="170" fontId="0" fillId="0" borderId="16" xfId="0" applyNumberFormat="1" applyBorder="1" applyAlignment="1" applyProtection="1">
      <alignment horizontal="center" vertical="center"/>
      <protection locked="0"/>
    </xf>
    <xf numFmtId="170" fontId="0" fillId="0" borderId="23" xfId="0" applyNumberFormat="1" applyBorder="1" applyAlignment="1" applyProtection="1">
      <alignment horizontal="center" vertical="center"/>
      <protection locked="0"/>
    </xf>
    <xf numFmtId="2" fontId="0" fillId="0" borderId="40" xfId="0" applyNumberForma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6" fillId="0" borderId="5" xfId="0" applyFont="1" applyBorder="1" applyAlignment="1">
      <alignment horizontal="left"/>
    </xf>
    <xf numFmtId="0" fontId="16" fillId="0" borderId="19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14" xfId="0" applyFont="1" applyBorder="1" applyAlignment="1">
      <alignment horizontal="left"/>
    </xf>
    <xf numFmtId="0" fontId="3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0" fillId="0" borderId="42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2" fontId="0" fillId="0" borderId="4" xfId="0" applyNumberFormat="1" applyBorder="1" applyAlignment="1">
      <alignment horizontal="center"/>
    </xf>
    <xf numFmtId="0" fontId="22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7" fontId="43" fillId="0" borderId="0" xfId="0" applyNumberFormat="1" applyFont="1" applyAlignment="1">
      <alignment horizontal="left"/>
    </xf>
    <xf numFmtId="0" fontId="34" fillId="0" borderId="24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right" wrapText="1"/>
    </xf>
    <xf numFmtId="0" fontId="17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  <xf numFmtId="0" fontId="0" fillId="0" borderId="2" xfId="0" applyBorder="1" applyAlignment="1" applyProtection="1">
      <alignment horizontal="center"/>
      <protection locked="0"/>
    </xf>
    <xf numFmtId="0" fontId="19" fillId="0" borderId="0" xfId="0" applyFont="1" applyAlignment="1">
      <alignment horizontal="right"/>
    </xf>
    <xf numFmtId="0" fontId="0" fillId="0" borderId="21" xfId="0" applyBorder="1" applyAlignment="1" applyProtection="1">
      <alignment horizontal="center"/>
      <protection locked="0"/>
    </xf>
    <xf numFmtId="0" fontId="19" fillId="0" borderId="0" xfId="0" applyFont="1" applyAlignment="1">
      <alignment horizontal="right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2" fontId="0" fillId="0" borderId="0" xfId="0" applyNumberFormat="1" applyAlignment="1" applyProtection="1">
      <alignment horizontal="center" vertical="center"/>
      <protection locked="0"/>
    </xf>
    <xf numFmtId="0" fontId="1" fillId="3" borderId="18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169" fontId="6" fillId="0" borderId="0" xfId="0" applyNumberFormat="1" applyFont="1" applyAlignment="1" applyProtection="1">
      <alignment horizontal="center"/>
      <protection locked="0"/>
    </xf>
    <xf numFmtId="169" fontId="6" fillId="0" borderId="14" xfId="0" applyNumberFormat="1" applyFont="1" applyBorder="1" applyAlignment="1" applyProtection="1">
      <alignment horizontal="center"/>
      <protection locked="0"/>
    </xf>
    <xf numFmtId="169" fontId="6" fillId="0" borderId="0" xfId="0" applyNumberFormat="1" applyFont="1" applyAlignment="1">
      <alignment horizontal="center" vertical="center"/>
    </xf>
    <xf numFmtId="169" fontId="6" fillId="0" borderId="14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170" fontId="0" fillId="0" borderId="39" xfId="0" applyNumberFormat="1" applyBorder="1" applyAlignment="1" applyProtection="1">
      <alignment horizontal="center" vertical="center"/>
      <protection locked="0"/>
    </xf>
    <xf numFmtId="170" fontId="0" fillId="0" borderId="29" xfId="0" applyNumberFormat="1" applyBorder="1" applyAlignment="1" applyProtection="1">
      <alignment horizontal="center" vertical="center"/>
      <protection locked="0"/>
    </xf>
    <xf numFmtId="1" fontId="1" fillId="0" borderId="9" xfId="0" applyNumberFormat="1" applyFont="1" applyBorder="1" applyAlignment="1" applyProtection="1">
      <alignment horizontal="center" vertical="center"/>
      <protection locked="0"/>
    </xf>
    <xf numFmtId="1" fontId="1" fillId="0" borderId="10" xfId="0" applyNumberFormat="1" applyFont="1" applyBorder="1" applyAlignment="1" applyProtection="1">
      <alignment horizontal="center" vertical="center"/>
      <protection locked="0"/>
    </xf>
    <xf numFmtId="1" fontId="1" fillId="0" borderId="11" xfId="0" applyNumberFormat="1" applyFont="1" applyBorder="1" applyAlignment="1" applyProtection="1">
      <alignment horizontal="center" vertical="center"/>
      <protection locked="0"/>
    </xf>
    <xf numFmtId="0" fontId="1" fillId="3" borderId="16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35" fillId="0" borderId="22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4" fillId="0" borderId="28" xfId="0" applyFont="1" applyBorder="1" applyAlignment="1">
      <alignment horizontal="center" vertical="center" wrapText="1"/>
    </xf>
    <xf numFmtId="0" fontId="34" fillId="0" borderId="29" xfId="0" applyFont="1" applyBorder="1" applyAlignment="1">
      <alignment horizontal="center" vertical="center" wrapText="1"/>
    </xf>
    <xf numFmtId="170" fontId="0" fillId="0" borderId="34" xfId="0" applyNumberFormat="1" applyBorder="1" applyAlignment="1" applyProtection="1">
      <alignment horizontal="center" vertical="center"/>
      <protection locked="0"/>
    </xf>
    <xf numFmtId="170" fontId="0" fillId="0" borderId="30" xfId="0" applyNumberForma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5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6" fillId="0" borderId="3" xfId="0" applyFont="1" applyBorder="1" applyAlignment="1">
      <alignment horizontal="left"/>
    </xf>
    <xf numFmtId="0" fontId="16" fillId="0" borderId="20" xfId="0" applyFont="1" applyBorder="1" applyAlignment="1">
      <alignment horizontal="left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left"/>
    </xf>
    <xf numFmtId="0" fontId="20" fillId="0" borderId="14" xfId="0" applyFont="1" applyBorder="1" applyAlignment="1">
      <alignment horizontal="left"/>
    </xf>
    <xf numFmtId="0" fontId="16" fillId="0" borderId="0" xfId="0" applyFont="1" applyAlignment="1">
      <alignment horizontal="left" wrapText="1"/>
    </xf>
    <xf numFmtId="0" fontId="40" fillId="0" borderId="35" xfId="0" applyFont="1" applyBorder="1" applyAlignment="1">
      <alignment horizontal="center" vertical="center"/>
    </xf>
    <xf numFmtId="0" fontId="40" fillId="0" borderId="36" xfId="0" applyFont="1" applyBorder="1" applyAlignment="1">
      <alignment horizontal="center" vertical="center"/>
    </xf>
    <xf numFmtId="0" fontId="40" fillId="0" borderId="37" xfId="0" applyFont="1" applyBorder="1" applyAlignment="1">
      <alignment horizontal="center" vertical="center"/>
    </xf>
    <xf numFmtId="0" fontId="0" fillId="0" borderId="1" xfId="0" applyBorder="1" applyAlignment="1" applyProtection="1">
      <alignment horizontal="left"/>
      <protection locked="0"/>
    </xf>
    <xf numFmtId="0" fontId="0" fillId="0" borderId="15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14" xfId="0" applyBorder="1" applyAlignment="1" applyProtection="1">
      <alignment horizontal="left"/>
      <protection locked="0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37" fillId="0" borderId="0" xfId="0" applyFont="1" applyAlignment="1" applyProtection="1">
      <alignment horizontal="center"/>
      <protection locked="0"/>
    </xf>
    <xf numFmtId="0" fontId="37" fillId="0" borderId="14" xfId="0" applyFont="1" applyBorder="1" applyAlignment="1" applyProtection="1">
      <alignment horizontal="center"/>
      <protection locked="0"/>
    </xf>
    <xf numFmtId="0" fontId="1" fillId="6" borderId="6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5353"/>
      <color rgb="FFFF4747"/>
      <color rgb="FFFF3F3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de Indicación</a:t>
            </a:r>
          </a:p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/>
              <a:t>indication error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'Valvula de seguridad'!$B$79:$B$80</c:f>
              <c:numCache>
                <c:formatCode>0.0</c:formatCode>
                <c:ptCount val="2"/>
                <c:pt idx="0">
                  <c:v>6.7</c:v>
                </c:pt>
                <c:pt idx="1">
                  <c:v>6.4</c:v>
                </c:pt>
              </c:numCache>
            </c:numRef>
          </c:cat>
          <c:val>
            <c:numRef>
              <c:f>'Valvula de seguridad'!$I$79:$I$80</c:f>
              <c:numCache>
                <c:formatCode>0.00</c:formatCode>
                <c:ptCount val="2"/>
                <c:pt idx="0">
                  <c:v>3.3333333333333215E-2</c:v>
                </c:pt>
                <c:pt idx="1">
                  <c:v>-6.6666666666667318E-2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7BE-4F34-928D-807EDD225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07328"/>
        <c:axId val="212280832"/>
      </c:lineChart>
      <c:catAx>
        <c:axId val="20670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2280832"/>
        <c:crosses val="autoZero"/>
        <c:auto val="1"/>
        <c:lblAlgn val="ctr"/>
        <c:lblOffset val="100"/>
        <c:noMultiLvlLbl val="0"/>
      </c:catAx>
      <c:valAx>
        <c:axId val="21228083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67073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INCERTIDUMBRE</a:t>
            </a:r>
          </a:p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/>
              <a:t>UNCERTAINTY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'Valvula de seguridad'!$B$79:$B$80</c:f>
              <c:numCache>
                <c:formatCode>0.0</c:formatCode>
                <c:ptCount val="2"/>
                <c:pt idx="0">
                  <c:v>6.7</c:v>
                </c:pt>
                <c:pt idx="1">
                  <c:v>6.4</c:v>
                </c:pt>
              </c:numCache>
            </c:numRef>
          </c:cat>
          <c:val>
            <c:numRef>
              <c:f>'Valvula de seguridad'!$J$79:$J$80</c:f>
              <c:numCache>
                <c:formatCode>0.00</c:formatCode>
                <c:ptCount val="2"/>
                <c:pt idx="0">
                  <c:v>0.54691096664979011</c:v>
                </c:pt>
                <c:pt idx="1">
                  <c:v>0.54691096664979022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7BE-4F34-928D-807EDD225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69056"/>
        <c:axId val="206410496"/>
      </c:lineChart>
      <c:catAx>
        <c:axId val="206269056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6410496"/>
        <c:crosses val="autoZero"/>
        <c:auto val="1"/>
        <c:lblAlgn val="ctr"/>
        <c:lblOffset val="100"/>
        <c:noMultiLvlLbl val="0"/>
      </c:catAx>
      <c:valAx>
        <c:axId val="206410496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626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3_1">
  <dgm:title val=""/>
  <dgm:desc val=""/>
  <dgm:catLst>
    <dgm:cat type="accent3" pri="11100"/>
  </dgm:catLst>
  <dgm:styleLbl name="node0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3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3">
        <a:tint val="4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parChTrans2D3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parChTrans2D4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3">
        <a:alpha val="4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3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3">
        <a:alpha val="90000"/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8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3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E560222-44FE-4EAE-9873-682A2BD29CD0}" type="doc">
      <dgm:prSet loTypeId="urn:microsoft.com/office/officeart/2005/8/layout/process2" loCatId="process" qsTypeId="urn:microsoft.com/office/officeart/2005/8/quickstyle/simple4" qsCatId="simple" csTypeId="urn:microsoft.com/office/officeart/2005/8/colors/accent3_1" csCatId="accent3" phldr="1"/>
      <dgm:spPr/>
      <dgm:t>
        <a:bodyPr/>
        <a:lstStyle/>
        <a:p>
          <a:endParaRPr lang="es-MX"/>
        </a:p>
      </dgm:t>
    </dgm:pt>
    <dgm:pt modelId="{92CCC0B2-2758-439B-A4AD-7E1C2D7E53B7}">
      <dgm:prSet phldrT="[Text]" custT="1"/>
      <dgm:spPr>
        <a:solidFill>
          <a:schemeClr val="bg1">
            <a:lumMod val="85000"/>
          </a:schemeClr>
        </a:solidFill>
      </dgm:spPr>
      <dgm:t>
        <a:bodyPr/>
        <a:lstStyle/>
        <a:p>
          <a:pPr algn="ctr"/>
          <a:r>
            <a:rPr lang="es-MX" sz="2200" b="1">
              <a:solidFill>
                <a:schemeClr val="tx1"/>
              </a:solidFill>
            </a:rPr>
            <a:t>Sistema Internacional de Unidades</a:t>
          </a:r>
        </a:p>
        <a:p>
          <a:pPr algn="ctr"/>
          <a:r>
            <a:rPr lang="es-MX" sz="2200" b="1">
              <a:solidFill>
                <a:schemeClr val="tx1"/>
              </a:solidFill>
            </a:rPr>
            <a:t> (SI)</a:t>
          </a:r>
        </a:p>
      </dgm:t>
    </dgm:pt>
    <dgm:pt modelId="{FF889F0A-B897-4539-A62B-DBCCC835E9C0}" type="parTrans" cxnId="{A51C8270-41E5-4E13-AF0C-A4760EF4EC4B}">
      <dgm:prSet/>
      <dgm:spPr/>
      <dgm:t>
        <a:bodyPr/>
        <a:lstStyle/>
        <a:p>
          <a:endParaRPr lang="ca-ES"/>
        </a:p>
      </dgm:t>
    </dgm:pt>
    <dgm:pt modelId="{9511B1DF-A7D0-4E1D-A8A0-7597123C6721}" type="sibTrans" cxnId="{A51C8270-41E5-4E13-AF0C-A4760EF4EC4B}">
      <dgm:prSet/>
      <dgm:spPr/>
      <dgm:t>
        <a:bodyPr/>
        <a:lstStyle/>
        <a:p>
          <a:endParaRPr lang="es-MX"/>
        </a:p>
      </dgm:t>
    </dgm:pt>
    <dgm:pt modelId="{97D8CDED-F708-4B1E-9B09-C7794CD143F8}">
      <dgm:prSet phldrT="[Text]" custT="1"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2200" b="1">
              <a:solidFill>
                <a:schemeClr val="tx1"/>
              </a:solidFill>
            </a:rPr>
            <a:t>CENAM</a:t>
          </a:r>
        </a:p>
        <a:p>
          <a:pPr algn="ctr"/>
          <a:r>
            <a:rPr lang="es-MX" sz="1200" b="1">
              <a:solidFill>
                <a:schemeClr val="tx1"/>
              </a:solidFill>
            </a:rPr>
            <a:t>National Institute of Metrology</a:t>
          </a:r>
        </a:p>
        <a:p>
          <a:pPr algn="ctr"/>
          <a:r>
            <a:rPr lang="es-MX" sz="1200" b="0">
              <a:solidFill>
                <a:schemeClr val="tx1"/>
              </a:solidFill>
              <a:latin typeface="Calibri"/>
              <a:cs typeface="Calibri"/>
            </a:rPr>
            <a:t>• </a:t>
          </a:r>
          <a:r>
            <a:rPr lang="es-MX" sz="1000" b="0">
              <a:solidFill>
                <a:schemeClr val="tx1"/>
              </a:solidFill>
            </a:rPr>
            <a:t>National Pressure master</a:t>
          </a:r>
        </a:p>
        <a:p>
          <a:pPr algn="ctr"/>
          <a:r>
            <a:rPr lang="es-MX" sz="1000" b="0">
              <a:solidFill>
                <a:schemeClr val="tx1"/>
              </a:solidFill>
              <a:latin typeface="Calibri"/>
              <a:cs typeface="Calibri"/>
            </a:rPr>
            <a:t>• </a:t>
          </a:r>
          <a:r>
            <a:rPr lang="es-MX" sz="1000" b="0">
              <a:solidFill>
                <a:schemeClr val="tx1"/>
              </a:solidFill>
            </a:rPr>
            <a:t>CNM-PNM 19</a:t>
          </a:r>
        </a:p>
      </dgm:t>
    </dgm:pt>
    <dgm:pt modelId="{5E4CA989-2026-42D8-ADFD-F2BDE34FE102}" type="parTrans" cxnId="{E8232C2B-E531-4660-BFCE-A9396B35F6FB}">
      <dgm:prSet/>
      <dgm:spPr/>
      <dgm:t>
        <a:bodyPr/>
        <a:lstStyle/>
        <a:p>
          <a:endParaRPr lang="es-MX"/>
        </a:p>
      </dgm:t>
    </dgm:pt>
    <dgm:pt modelId="{264B0840-1458-4B84-91E8-84C44332CCDF}" type="sibTrans" cxnId="{E8232C2B-E531-4660-BFCE-A9396B35F6FB}">
      <dgm:prSet/>
      <dgm:spPr/>
      <dgm:t>
        <a:bodyPr/>
        <a:lstStyle/>
        <a:p>
          <a:endParaRPr lang="es-MX"/>
        </a:p>
      </dgm:t>
    </dgm:pt>
    <dgm:pt modelId="{294784B9-24AA-411B-A656-FD385BEA05AE}">
      <dgm:prSet phldrT="[Text]" custT="1"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 sz="2400" b="1">
              <a:solidFill>
                <a:schemeClr val="tx1"/>
              </a:solidFill>
            </a:rPr>
            <a:t>IBC </a:t>
          </a:r>
          <a:endParaRPr lang="es-MX" sz="1100" b="1">
            <a:solidFill>
              <a:schemeClr val="tx1"/>
            </a:solidFill>
          </a:endParaRPr>
        </a:p>
        <a:p>
          <a:pPr algn="ctr"/>
          <a:r>
            <a:rPr lang="es-MX" sz="1050" b="1">
              <a:solidFill>
                <a:schemeClr val="tx1"/>
              </a:solidFill>
            </a:rPr>
            <a:t>Modulo de temperatura</a:t>
          </a:r>
        </a:p>
        <a:p>
          <a:pPr algn="ctr"/>
          <a:r>
            <a:rPr lang="es-MX" sz="1050" b="0">
              <a:solidFill>
                <a:schemeClr val="tx1"/>
              </a:solidFill>
              <a:latin typeface="Calibri"/>
              <a:cs typeface="Calibri"/>
            </a:rPr>
            <a:t>• Identificación</a:t>
          </a:r>
          <a:r>
            <a:rPr lang="es-MX" sz="1000" b="0">
              <a:solidFill>
                <a:schemeClr val="tx1"/>
              </a:solidFill>
            </a:rPr>
            <a:t>: IBC-014</a:t>
          </a:r>
        </a:p>
        <a:p>
          <a:pPr algn="ctr"/>
          <a:r>
            <a:rPr lang="es-MX" sz="1000" b="0">
              <a:solidFill>
                <a:schemeClr val="tx1"/>
              </a:solidFill>
            </a:rPr>
            <a:t>Marca: fluke</a:t>
          </a:r>
        </a:p>
        <a:p>
          <a:pPr algn="ctr"/>
          <a:r>
            <a:rPr lang="es-MX" sz="1000" b="0">
              <a:solidFill>
                <a:schemeClr val="tx1"/>
              </a:solidFill>
            </a:rPr>
            <a:t>Modelo: PV350</a:t>
          </a:r>
        </a:p>
        <a:p>
          <a:pPr algn="ctr"/>
          <a:r>
            <a:rPr lang="es-MX" sz="1000" b="0">
              <a:solidFill>
                <a:schemeClr val="tx1"/>
              </a:solidFill>
            </a:rPr>
            <a:t>Serie: 4904070</a:t>
          </a:r>
        </a:p>
        <a:p>
          <a:pPr algn="ctr"/>
          <a:r>
            <a:rPr lang="es-MX" sz="1000" b="0">
              <a:solidFill>
                <a:schemeClr val="tx1"/>
              </a:solidFill>
              <a:latin typeface="Calibri"/>
              <a:cs typeface="Calibri"/>
            </a:rPr>
            <a:t>• Certificado: 1-17017</a:t>
          </a:r>
        </a:p>
      </dgm:t>
    </dgm:pt>
    <dgm:pt modelId="{89AE7419-4A89-41E2-AF23-02F814732720}" type="parTrans" cxnId="{923E90C8-0EE8-41C7-9F7E-CBEF39D354A9}">
      <dgm:prSet/>
      <dgm:spPr/>
      <dgm:t>
        <a:bodyPr/>
        <a:lstStyle/>
        <a:p>
          <a:endParaRPr lang="es-MX"/>
        </a:p>
      </dgm:t>
    </dgm:pt>
    <dgm:pt modelId="{817114C9-2748-49ED-86EF-7529940E65C7}" type="sibTrans" cxnId="{923E90C8-0EE8-41C7-9F7E-CBEF39D354A9}">
      <dgm:prSet/>
      <dgm:spPr/>
      <dgm:t>
        <a:bodyPr/>
        <a:lstStyle/>
        <a:p>
          <a:endParaRPr lang="es-MX"/>
        </a:p>
      </dgm:t>
    </dgm:pt>
    <dgm:pt modelId="{E79B0F86-046F-4A89-9E61-4D828DFF6AD9}">
      <dgm:prSet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ca-ES" b="1"/>
            <a:t>Metrologia y Servicios MYC S.A. de C.V.</a:t>
          </a:r>
        </a:p>
        <a:p>
          <a:pPr algn="ctr"/>
          <a:r>
            <a:rPr lang="es-MX">
              <a:solidFill>
                <a:schemeClr val="tx1"/>
              </a:solidFill>
            </a:rPr>
            <a:t>Pressure cell hathaway beta gauge II</a:t>
          </a:r>
          <a:endParaRPr lang="ca-ES" b="1"/>
        </a:p>
      </dgm:t>
    </dgm:pt>
    <dgm:pt modelId="{064CB444-2139-4542-AECE-49991DD9C128}" type="parTrans" cxnId="{45EBA2F5-824E-441F-AE7D-03054952D540}">
      <dgm:prSet/>
      <dgm:spPr/>
      <dgm:t>
        <a:bodyPr/>
        <a:lstStyle/>
        <a:p>
          <a:endParaRPr lang="es-MX"/>
        </a:p>
      </dgm:t>
    </dgm:pt>
    <dgm:pt modelId="{96B7775B-0D7D-45F1-A8B0-03466407FA4F}" type="sibTrans" cxnId="{45EBA2F5-824E-441F-AE7D-03054952D540}">
      <dgm:prSet/>
      <dgm:spPr/>
      <dgm:t>
        <a:bodyPr/>
        <a:lstStyle/>
        <a:p>
          <a:endParaRPr lang="es-MX"/>
        </a:p>
      </dgm:t>
    </dgm:pt>
    <dgm:pt modelId="{B21CED47-8011-4A26-AC1F-F83C1C5259E4}">
      <dgm:prSet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>
              <a:solidFill>
                <a:schemeClr val="tx1"/>
              </a:solidFill>
            </a:rPr>
            <a:t>ID: PRESS-14</a:t>
          </a:r>
        </a:p>
      </dgm:t>
    </dgm:pt>
    <dgm:pt modelId="{3CF631B8-3D1E-4E3B-A86C-B52FC7F3EFFB}" type="parTrans" cxnId="{5EE21443-C33D-477D-AD1B-D73B5EA8C122}">
      <dgm:prSet/>
      <dgm:spPr/>
      <dgm:t>
        <a:bodyPr/>
        <a:lstStyle/>
        <a:p>
          <a:endParaRPr lang="es-MX"/>
        </a:p>
      </dgm:t>
    </dgm:pt>
    <dgm:pt modelId="{8D2CF823-F08B-43C1-A018-6E8A9FC56B8C}" type="sibTrans" cxnId="{5EE21443-C33D-477D-AD1B-D73B5EA8C122}">
      <dgm:prSet/>
      <dgm:spPr/>
      <dgm:t>
        <a:bodyPr/>
        <a:lstStyle/>
        <a:p>
          <a:endParaRPr lang="es-MX"/>
        </a:p>
      </dgm:t>
    </dgm:pt>
    <dgm:pt modelId="{A6A78463-3F8E-47AB-A348-BAB9D4F4BD50}">
      <dgm:prSet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>
              <a:solidFill>
                <a:schemeClr val="tx1"/>
              </a:solidFill>
            </a:rPr>
            <a:t>Certificado:  IBC-C--P-0678-2025</a:t>
          </a:r>
        </a:p>
      </dgm:t>
    </dgm:pt>
    <dgm:pt modelId="{6BEFB0CC-7B58-448B-A5AC-F7F9CD563D86}" type="parTrans" cxnId="{01593BAE-99D9-4C72-8751-9E39CF67C72A}">
      <dgm:prSet/>
      <dgm:spPr/>
      <dgm:t>
        <a:bodyPr/>
        <a:lstStyle/>
        <a:p>
          <a:endParaRPr lang="es-MX"/>
        </a:p>
      </dgm:t>
    </dgm:pt>
    <dgm:pt modelId="{1BB4DFE9-1681-4C64-B41A-C8AA7E6E1A54}" type="sibTrans" cxnId="{01593BAE-99D9-4C72-8751-9E39CF67C72A}">
      <dgm:prSet/>
      <dgm:spPr/>
      <dgm:t>
        <a:bodyPr/>
        <a:lstStyle/>
        <a:p>
          <a:endParaRPr lang="es-MX"/>
        </a:p>
      </dgm:t>
    </dgm:pt>
    <dgm:pt modelId="{5591C538-0801-4315-B2C7-7374D045D89B}">
      <dgm:prSet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>
              <a:solidFill>
                <a:schemeClr val="tx1"/>
              </a:solidFill>
            </a:rPr>
            <a:t>Incertidumbre: </a:t>
          </a:r>
          <a:r>
            <a:rPr lang="es-MX">
              <a:solidFill>
                <a:schemeClr val="tx1"/>
              </a:solidFill>
              <a:latin typeface="Calibri"/>
              <a:cs typeface="Calibri"/>
            </a:rPr>
            <a:t>± 0.14 psi</a:t>
          </a:r>
          <a:endParaRPr lang="es-MX">
            <a:solidFill>
              <a:schemeClr val="tx1"/>
            </a:solidFill>
          </a:endParaRPr>
        </a:p>
      </dgm:t>
    </dgm:pt>
    <dgm:pt modelId="{81B547BB-7707-4199-BE6E-27F0E54292ED}" type="parTrans" cxnId="{76BACEE8-3EF9-4D12-8840-B7D6CBA52CA2}">
      <dgm:prSet/>
      <dgm:spPr/>
      <dgm:t>
        <a:bodyPr/>
        <a:lstStyle/>
        <a:p>
          <a:endParaRPr lang="es-MX"/>
        </a:p>
      </dgm:t>
    </dgm:pt>
    <dgm:pt modelId="{ADEDC2C5-76D1-401F-86B2-1AC9F6460884}" type="sibTrans" cxnId="{76BACEE8-3EF9-4D12-8840-B7D6CBA52CA2}">
      <dgm:prSet/>
      <dgm:spPr/>
      <dgm:t>
        <a:bodyPr/>
        <a:lstStyle/>
        <a:p>
          <a:endParaRPr lang="es-MX"/>
        </a:p>
      </dgm:t>
    </dgm:pt>
    <dgm:pt modelId="{9560B3E9-6401-42BC-917F-8B14D94FC51A}">
      <dgm:prSet custT="1"/>
      <dgm:spPr>
        <a:solidFill>
          <a:schemeClr val="bg2">
            <a:lumMod val="50000"/>
          </a:schemeClr>
        </a:solidFill>
      </dgm:spPr>
      <dgm:t>
        <a:bodyPr/>
        <a:lstStyle/>
        <a:p>
          <a:pPr algn="ctr"/>
          <a:r>
            <a:rPr lang="es-MX" sz="2000">
              <a:solidFill>
                <a:schemeClr val="bg1"/>
              </a:solidFill>
            </a:rPr>
            <a:t>Usuario Final</a:t>
          </a:r>
        </a:p>
      </dgm:t>
    </dgm:pt>
    <dgm:pt modelId="{2B1CD3E0-CFC4-445E-BDA1-B9504CC0CFFB}" type="parTrans" cxnId="{2444BC6C-DDF8-45DD-B6F0-B7AA2EB383FC}">
      <dgm:prSet/>
      <dgm:spPr/>
      <dgm:t>
        <a:bodyPr/>
        <a:lstStyle/>
        <a:p>
          <a:endParaRPr lang="es-MX"/>
        </a:p>
      </dgm:t>
    </dgm:pt>
    <dgm:pt modelId="{2E516291-4426-4CC0-89B2-A1C60B8621B2}" type="sibTrans" cxnId="{2444BC6C-DDF8-45DD-B6F0-B7AA2EB383FC}">
      <dgm:prSet/>
      <dgm:spPr/>
      <dgm:t>
        <a:bodyPr/>
        <a:lstStyle/>
        <a:p>
          <a:endParaRPr lang="es-MX"/>
        </a:p>
      </dgm:t>
    </dgm:pt>
    <dgm:pt modelId="{FA3A7F5C-CCE5-4229-9864-99F676972E39}">
      <dgm:prSet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>
              <a:solidFill>
                <a:schemeClr val="tx1"/>
              </a:solidFill>
            </a:rPr>
            <a:t>Marca: Hathaway</a:t>
          </a:r>
        </a:p>
      </dgm:t>
    </dgm:pt>
    <dgm:pt modelId="{713BED3C-91A6-45AE-BF69-4B152306CF75}" type="parTrans" cxnId="{1F0E61E9-7CB8-4E29-826D-3B27FDCDA034}">
      <dgm:prSet/>
      <dgm:spPr/>
      <dgm:t>
        <a:bodyPr/>
        <a:lstStyle/>
        <a:p>
          <a:endParaRPr lang="es-MX"/>
        </a:p>
      </dgm:t>
    </dgm:pt>
    <dgm:pt modelId="{10183789-E786-4C7E-84A8-96AAF873E7E0}" type="sibTrans" cxnId="{1F0E61E9-7CB8-4E29-826D-3B27FDCDA034}">
      <dgm:prSet/>
      <dgm:spPr/>
      <dgm:t>
        <a:bodyPr/>
        <a:lstStyle/>
        <a:p>
          <a:endParaRPr lang="es-MX"/>
        </a:p>
      </dgm:t>
    </dgm:pt>
    <dgm:pt modelId="{E2E5BBE9-E2A5-4657-9D06-E39113963B3D}">
      <dgm:prSet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>
              <a:solidFill>
                <a:schemeClr val="tx1"/>
              </a:solidFill>
            </a:rPr>
            <a:t>Modelo: Betaport-P</a:t>
          </a:r>
        </a:p>
      </dgm:t>
    </dgm:pt>
    <dgm:pt modelId="{8992701C-2B68-4AB2-BFE2-2948FDB27143}" type="parTrans" cxnId="{DB592E13-BDFA-40DC-9DF1-4CC7AB80AB20}">
      <dgm:prSet/>
      <dgm:spPr/>
      <dgm:t>
        <a:bodyPr/>
        <a:lstStyle/>
        <a:p>
          <a:endParaRPr lang="es-MX"/>
        </a:p>
      </dgm:t>
    </dgm:pt>
    <dgm:pt modelId="{B5328C6D-0BB6-4BF8-8FB1-07B175CD3BAA}" type="sibTrans" cxnId="{DB592E13-BDFA-40DC-9DF1-4CC7AB80AB20}">
      <dgm:prSet/>
      <dgm:spPr/>
      <dgm:t>
        <a:bodyPr/>
        <a:lstStyle/>
        <a:p>
          <a:endParaRPr lang="es-MX"/>
        </a:p>
      </dgm:t>
    </dgm:pt>
    <dgm:pt modelId="{FE15985C-C3B3-4FBB-B276-BF6C18761C15}">
      <dgm:prSet/>
      <dgm:spPr>
        <a:solidFill>
          <a:schemeClr val="bg1">
            <a:lumMod val="75000"/>
          </a:schemeClr>
        </a:solidFill>
      </dgm:spPr>
      <dgm:t>
        <a:bodyPr/>
        <a:lstStyle/>
        <a:p>
          <a:pPr algn="ctr"/>
          <a:r>
            <a:rPr lang="es-MX">
              <a:solidFill>
                <a:schemeClr val="tx1"/>
              </a:solidFill>
            </a:rPr>
            <a:t>Serial: 262050</a:t>
          </a:r>
        </a:p>
      </dgm:t>
    </dgm:pt>
    <dgm:pt modelId="{7FAEA3E8-9318-42E9-884A-DD0B1FDF8BF7}" type="parTrans" cxnId="{DD789089-4D58-420B-8477-13925FDB3AEE}">
      <dgm:prSet/>
      <dgm:spPr/>
      <dgm:t>
        <a:bodyPr/>
        <a:lstStyle/>
        <a:p>
          <a:endParaRPr lang="es-MX"/>
        </a:p>
      </dgm:t>
    </dgm:pt>
    <dgm:pt modelId="{D4032969-D568-4F35-B406-5ED1755B3A96}" type="sibTrans" cxnId="{DD789089-4D58-420B-8477-13925FDB3AEE}">
      <dgm:prSet/>
      <dgm:spPr/>
      <dgm:t>
        <a:bodyPr/>
        <a:lstStyle/>
        <a:p>
          <a:endParaRPr lang="es-MX"/>
        </a:p>
      </dgm:t>
    </dgm:pt>
    <dgm:pt modelId="{07F6CA29-19CC-4F82-BE6C-60F25E6B39D4}" type="pres">
      <dgm:prSet presAssocID="{CE560222-44FE-4EAE-9873-682A2BD29CD0}" presName="linearFlow" presStyleCnt="0">
        <dgm:presLayoutVars>
          <dgm:resizeHandles val="exact"/>
        </dgm:presLayoutVars>
      </dgm:prSet>
      <dgm:spPr/>
    </dgm:pt>
    <dgm:pt modelId="{65046A1D-913D-42B2-B0F6-735D4845A0D8}" type="pres">
      <dgm:prSet presAssocID="{92CCC0B2-2758-439B-A4AD-7E1C2D7E53B7}" presName="node" presStyleLbl="node1" presStyleIdx="0" presStyleCnt="5" custScaleX="105098" custLinFactNeighborX="-356" custLinFactNeighborY="31360">
        <dgm:presLayoutVars>
          <dgm:bulletEnabled val="1"/>
        </dgm:presLayoutVars>
      </dgm:prSet>
      <dgm:spPr/>
    </dgm:pt>
    <dgm:pt modelId="{D640F07E-114D-4F7C-9B3D-F8C5AF94C1AE}" type="pres">
      <dgm:prSet presAssocID="{9511B1DF-A7D0-4E1D-A8A0-7597123C6721}" presName="sibTrans" presStyleLbl="sibTrans2D1" presStyleIdx="0" presStyleCnt="4" custAng="16400" custLinFactNeighborX="27097" custLinFactNeighborY="3609"/>
      <dgm:spPr/>
    </dgm:pt>
    <dgm:pt modelId="{7EBF975C-2970-473A-B004-1ABA2EC602A2}" type="pres">
      <dgm:prSet presAssocID="{9511B1DF-A7D0-4E1D-A8A0-7597123C6721}" presName="connectorText" presStyleLbl="sibTrans2D1" presStyleIdx="0" presStyleCnt="4"/>
      <dgm:spPr/>
    </dgm:pt>
    <dgm:pt modelId="{B5BF41FE-EE6D-413D-940A-4CD9C05DCE7A}" type="pres">
      <dgm:prSet presAssocID="{97D8CDED-F708-4B1E-9B09-C7794CD143F8}" presName="node" presStyleLbl="node1" presStyleIdx="1" presStyleCnt="5" custScaleX="104477" custScaleY="108305" custLinFactNeighborX="698" custLinFactNeighborY="-8817">
        <dgm:presLayoutVars>
          <dgm:bulletEnabled val="1"/>
        </dgm:presLayoutVars>
      </dgm:prSet>
      <dgm:spPr/>
    </dgm:pt>
    <dgm:pt modelId="{C61AF68F-3E9B-4D9B-9994-23C223D1CE42}" type="pres">
      <dgm:prSet presAssocID="{264B0840-1458-4B84-91E8-84C44332CCDF}" presName="sibTrans" presStyleLbl="sibTrans2D1" presStyleIdx="1" presStyleCnt="4"/>
      <dgm:spPr/>
    </dgm:pt>
    <dgm:pt modelId="{16E0D095-D71E-4639-9D10-EBECBBFBFA6B}" type="pres">
      <dgm:prSet presAssocID="{264B0840-1458-4B84-91E8-84C44332CCDF}" presName="connectorText" presStyleLbl="sibTrans2D1" presStyleIdx="1" presStyleCnt="4"/>
      <dgm:spPr/>
    </dgm:pt>
    <dgm:pt modelId="{1764D219-A4E5-404F-BF55-01B4A4D03778}" type="pres">
      <dgm:prSet presAssocID="{294784B9-24AA-411B-A656-FD385BEA05AE}" presName="node" presStyleLbl="node1" presStyleIdx="2" presStyleCnt="5" custScaleX="106581" custScaleY="146775" custLinFactNeighborX="698" custLinFactNeighborY="-8817">
        <dgm:presLayoutVars>
          <dgm:bulletEnabled val="1"/>
        </dgm:presLayoutVars>
      </dgm:prSet>
      <dgm:spPr/>
    </dgm:pt>
    <dgm:pt modelId="{F95C0043-5FDF-4310-8EE4-BB5A652D2B3F}" type="pres">
      <dgm:prSet presAssocID="{817114C9-2748-49ED-86EF-7529940E65C7}" presName="sibTrans" presStyleLbl="sibTrans2D1" presStyleIdx="2" presStyleCnt="4"/>
      <dgm:spPr/>
    </dgm:pt>
    <dgm:pt modelId="{1E6C7C47-9486-41E1-AC7C-B0717868DC5A}" type="pres">
      <dgm:prSet presAssocID="{817114C9-2748-49ED-86EF-7529940E65C7}" presName="connectorText" presStyleLbl="sibTrans2D1" presStyleIdx="2" presStyleCnt="4"/>
      <dgm:spPr/>
    </dgm:pt>
    <dgm:pt modelId="{42C82D06-507C-40C3-856A-F778EE8F07F7}" type="pres">
      <dgm:prSet presAssocID="{E79B0F86-046F-4A89-9E61-4D828DFF6AD9}" presName="node" presStyleLbl="node1" presStyleIdx="3" presStyleCnt="5" custScaleX="99896" custLinFactNeighborX="1168" custLinFactNeighborY="-1436">
        <dgm:presLayoutVars>
          <dgm:bulletEnabled val="1"/>
        </dgm:presLayoutVars>
      </dgm:prSet>
      <dgm:spPr/>
    </dgm:pt>
    <dgm:pt modelId="{2F465B75-117E-4896-9FE1-F932ED43E46A}" type="pres">
      <dgm:prSet presAssocID="{96B7775B-0D7D-45F1-A8B0-03466407FA4F}" presName="sibTrans" presStyleLbl="sibTrans2D1" presStyleIdx="3" presStyleCnt="4"/>
      <dgm:spPr/>
    </dgm:pt>
    <dgm:pt modelId="{9DF1B634-8395-4F3C-8ED6-E487D63CF9E7}" type="pres">
      <dgm:prSet presAssocID="{96B7775B-0D7D-45F1-A8B0-03466407FA4F}" presName="connectorText" presStyleLbl="sibTrans2D1" presStyleIdx="3" presStyleCnt="4"/>
      <dgm:spPr/>
    </dgm:pt>
    <dgm:pt modelId="{353E2E53-1DEE-49FF-BF8F-D46C1D36D4EE}" type="pres">
      <dgm:prSet presAssocID="{9560B3E9-6401-42BC-917F-8B14D94FC51A}" presName="node" presStyleLbl="node1" presStyleIdx="4" presStyleCnt="5" custScaleX="100407" custScaleY="55541" custLinFactNeighborX="733" custLinFactNeighborY="-2932">
        <dgm:presLayoutVars>
          <dgm:bulletEnabled val="1"/>
        </dgm:presLayoutVars>
      </dgm:prSet>
      <dgm:spPr/>
    </dgm:pt>
  </dgm:ptLst>
  <dgm:cxnLst>
    <dgm:cxn modelId="{E8F48501-4EB8-4D3A-9D20-FEDFB54F2F10}" type="presOf" srcId="{97D8CDED-F708-4B1E-9B09-C7794CD143F8}" destId="{B5BF41FE-EE6D-413D-940A-4CD9C05DCE7A}" srcOrd="0" destOrd="0" presId="urn:microsoft.com/office/officeart/2005/8/layout/process2"/>
    <dgm:cxn modelId="{2A59A011-82DB-4212-A033-9695CF8C590C}" type="presOf" srcId="{96B7775B-0D7D-45F1-A8B0-03466407FA4F}" destId="{2F465B75-117E-4896-9FE1-F932ED43E46A}" srcOrd="0" destOrd="0" presId="urn:microsoft.com/office/officeart/2005/8/layout/process2"/>
    <dgm:cxn modelId="{DB592E13-BDFA-40DC-9DF1-4CC7AB80AB20}" srcId="{E79B0F86-046F-4A89-9E61-4D828DFF6AD9}" destId="{E2E5BBE9-E2A5-4657-9D06-E39113963B3D}" srcOrd="1" destOrd="0" parTransId="{8992701C-2B68-4AB2-BFE2-2948FDB27143}" sibTransId="{B5328C6D-0BB6-4BF8-8FB1-07B175CD3BAA}"/>
    <dgm:cxn modelId="{79822C20-7D44-4222-82DC-844EF781D1D7}" type="presOf" srcId="{9511B1DF-A7D0-4E1D-A8A0-7597123C6721}" destId="{7EBF975C-2970-473A-B004-1ABA2EC602A2}" srcOrd="1" destOrd="0" presId="urn:microsoft.com/office/officeart/2005/8/layout/process2"/>
    <dgm:cxn modelId="{62E35722-9F9E-43F9-9030-C6744DAA1DEF}" type="presOf" srcId="{817114C9-2748-49ED-86EF-7529940E65C7}" destId="{1E6C7C47-9486-41E1-AC7C-B0717868DC5A}" srcOrd="1" destOrd="0" presId="urn:microsoft.com/office/officeart/2005/8/layout/process2"/>
    <dgm:cxn modelId="{E8232C2B-E531-4660-BFCE-A9396B35F6FB}" srcId="{CE560222-44FE-4EAE-9873-682A2BD29CD0}" destId="{97D8CDED-F708-4B1E-9B09-C7794CD143F8}" srcOrd="1" destOrd="0" parTransId="{5E4CA989-2026-42D8-ADFD-F2BDE34FE102}" sibTransId="{264B0840-1458-4B84-91E8-84C44332CCDF}"/>
    <dgm:cxn modelId="{44BBBE39-2727-46B0-9D93-15ACFB1D8FF1}" type="presOf" srcId="{96B7775B-0D7D-45F1-A8B0-03466407FA4F}" destId="{9DF1B634-8395-4F3C-8ED6-E487D63CF9E7}" srcOrd="1" destOrd="0" presId="urn:microsoft.com/office/officeart/2005/8/layout/process2"/>
    <dgm:cxn modelId="{5EE21443-C33D-477D-AD1B-D73B5EA8C122}" srcId="{E79B0F86-046F-4A89-9E61-4D828DFF6AD9}" destId="{B21CED47-8011-4A26-AC1F-F83C1C5259E4}" srcOrd="3" destOrd="0" parTransId="{3CF631B8-3D1E-4E3B-A86C-B52FC7F3EFFB}" sibTransId="{8D2CF823-F08B-43C1-A018-6E8A9FC56B8C}"/>
    <dgm:cxn modelId="{790B5063-ED5B-4C70-82D8-A3D42AB9A7F6}" type="presOf" srcId="{FE15985C-C3B3-4FBB-B276-BF6C18761C15}" destId="{42C82D06-507C-40C3-856A-F778EE8F07F7}" srcOrd="0" destOrd="3" presId="urn:microsoft.com/office/officeart/2005/8/layout/process2"/>
    <dgm:cxn modelId="{159DB167-0181-402A-B1B6-23EB34EF8F28}" type="presOf" srcId="{264B0840-1458-4B84-91E8-84C44332CCDF}" destId="{C61AF68F-3E9B-4D9B-9994-23C223D1CE42}" srcOrd="0" destOrd="0" presId="urn:microsoft.com/office/officeart/2005/8/layout/process2"/>
    <dgm:cxn modelId="{3980AF6A-7C8B-49FE-907B-39FEEAD5AF3A}" type="presOf" srcId="{294784B9-24AA-411B-A656-FD385BEA05AE}" destId="{1764D219-A4E5-404F-BF55-01B4A4D03778}" srcOrd="0" destOrd="0" presId="urn:microsoft.com/office/officeart/2005/8/layout/process2"/>
    <dgm:cxn modelId="{2444BC6C-DDF8-45DD-B6F0-B7AA2EB383FC}" srcId="{CE560222-44FE-4EAE-9873-682A2BD29CD0}" destId="{9560B3E9-6401-42BC-917F-8B14D94FC51A}" srcOrd="4" destOrd="0" parTransId="{2B1CD3E0-CFC4-445E-BDA1-B9504CC0CFFB}" sibTransId="{2E516291-4426-4CC0-89B2-A1C60B8621B2}"/>
    <dgm:cxn modelId="{A51C8270-41E5-4E13-AF0C-A4760EF4EC4B}" srcId="{CE560222-44FE-4EAE-9873-682A2BD29CD0}" destId="{92CCC0B2-2758-439B-A4AD-7E1C2D7E53B7}" srcOrd="0" destOrd="0" parTransId="{FF889F0A-B897-4539-A62B-DBCCC835E9C0}" sibTransId="{9511B1DF-A7D0-4E1D-A8A0-7597123C6721}"/>
    <dgm:cxn modelId="{C339F379-2DC0-49B9-BC54-678D0EE583CB}" type="presOf" srcId="{9511B1DF-A7D0-4E1D-A8A0-7597123C6721}" destId="{D640F07E-114D-4F7C-9B3D-F8C5AF94C1AE}" srcOrd="0" destOrd="0" presId="urn:microsoft.com/office/officeart/2005/8/layout/process2"/>
    <dgm:cxn modelId="{1626EB5A-6F2F-4231-9119-DF7F610AE911}" type="presOf" srcId="{5591C538-0801-4315-B2C7-7374D045D89B}" destId="{42C82D06-507C-40C3-856A-F778EE8F07F7}" srcOrd="0" destOrd="6" presId="urn:microsoft.com/office/officeart/2005/8/layout/process2"/>
    <dgm:cxn modelId="{44429F83-57CD-41D1-90DA-EF9D3365F093}" type="presOf" srcId="{92CCC0B2-2758-439B-A4AD-7E1C2D7E53B7}" destId="{65046A1D-913D-42B2-B0F6-735D4845A0D8}" srcOrd="0" destOrd="0" presId="urn:microsoft.com/office/officeart/2005/8/layout/process2"/>
    <dgm:cxn modelId="{DD789089-4D58-420B-8477-13925FDB3AEE}" srcId="{E79B0F86-046F-4A89-9E61-4D828DFF6AD9}" destId="{FE15985C-C3B3-4FBB-B276-BF6C18761C15}" srcOrd="2" destOrd="0" parTransId="{7FAEA3E8-9318-42E9-884A-DD0B1FDF8BF7}" sibTransId="{D4032969-D568-4F35-B406-5ED1755B3A96}"/>
    <dgm:cxn modelId="{DAEB00A0-EDB9-4E4D-B3D5-AB697B85A5FF}" type="presOf" srcId="{E2E5BBE9-E2A5-4657-9D06-E39113963B3D}" destId="{42C82D06-507C-40C3-856A-F778EE8F07F7}" srcOrd="0" destOrd="2" presId="urn:microsoft.com/office/officeart/2005/8/layout/process2"/>
    <dgm:cxn modelId="{112C75AB-25C8-4858-9E39-6459A09F3E45}" type="presOf" srcId="{FA3A7F5C-CCE5-4229-9864-99F676972E39}" destId="{42C82D06-507C-40C3-856A-F778EE8F07F7}" srcOrd="0" destOrd="1" presId="urn:microsoft.com/office/officeart/2005/8/layout/process2"/>
    <dgm:cxn modelId="{01593BAE-99D9-4C72-8751-9E39CF67C72A}" srcId="{E79B0F86-046F-4A89-9E61-4D828DFF6AD9}" destId="{A6A78463-3F8E-47AB-A348-BAB9D4F4BD50}" srcOrd="4" destOrd="0" parTransId="{6BEFB0CC-7B58-448B-A5AC-F7F9CD563D86}" sibTransId="{1BB4DFE9-1681-4C64-B41A-C8AA7E6E1A54}"/>
    <dgm:cxn modelId="{027B03B2-27F7-4670-8BB4-4431F430F687}" type="presOf" srcId="{817114C9-2748-49ED-86EF-7529940E65C7}" destId="{F95C0043-5FDF-4310-8EE4-BB5A652D2B3F}" srcOrd="0" destOrd="0" presId="urn:microsoft.com/office/officeart/2005/8/layout/process2"/>
    <dgm:cxn modelId="{9DA753B3-4DD5-4721-83BB-5C7564BD9B4A}" type="presOf" srcId="{E79B0F86-046F-4A89-9E61-4D828DFF6AD9}" destId="{42C82D06-507C-40C3-856A-F778EE8F07F7}" srcOrd="0" destOrd="0" presId="urn:microsoft.com/office/officeart/2005/8/layout/process2"/>
    <dgm:cxn modelId="{923E90C8-0EE8-41C7-9F7E-CBEF39D354A9}" srcId="{CE560222-44FE-4EAE-9873-682A2BD29CD0}" destId="{294784B9-24AA-411B-A656-FD385BEA05AE}" srcOrd="2" destOrd="0" parTransId="{89AE7419-4A89-41E2-AF23-02F814732720}" sibTransId="{817114C9-2748-49ED-86EF-7529940E65C7}"/>
    <dgm:cxn modelId="{679B66C9-6122-4E15-97F3-0695509EA5BD}" type="presOf" srcId="{A6A78463-3F8E-47AB-A348-BAB9D4F4BD50}" destId="{42C82D06-507C-40C3-856A-F778EE8F07F7}" srcOrd="0" destOrd="5" presId="urn:microsoft.com/office/officeart/2005/8/layout/process2"/>
    <dgm:cxn modelId="{EDF24AD4-0494-4C2D-8657-3114195858EE}" type="presOf" srcId="{9560B3E9-6401-42BC-917F-8B14D94FC51A}" destId="{353E2E53-1DEE-49FF-BF8F-D46C1D36D4EE}" srcOrd="0" destOrd="0" presId="urn:microsoft.com/office/officeart/2005/8/layout/process2"/>
    <dgm:cxn modelId="{A1743FDB-1B3A-428D-8BC3-B75EC9D13003}" type="presOf" srcId="{264B0840-1458-4B84-91E8-84C44332CCDF}" destId="{16E0D095-D71E-4639-9D10-EBECBBFBFA6B}" srcOrd="1" destOrd="0" presId="urn:microsoft.com/office/officeart/2005/8/layout/process2"/>
    <dgm:cxn modelId="{76BACEE8-3EF9-4D12-8840-B7D6CBA52CA2}" srcId="{E79B0F86-046F-4A89-9E61-4D828DFF6AD9}" destId="{5591C538-0801-4315-B2C7-7374D045D89B}" srcOrd="5" destOrd="0" parTransId="{81B547BB-7707-4199-BE6E-27F0E54292ED}" sibTransId="{ADEDC2C5-76D1-401F-86B2-1AC9F6460884}"/>
    <dgm:cxn modelId="{1F0E61E9-7CB8-4E29-826D-3B27FDCDA034}" srcId="{E79B0F86-046F-4A89-9E61-4D828DFF6AD9}" destId="{FA3A7F5C-CCE5-4229-9864-99F676972E39}" srcOrd="0" destOrd="0" parTransId="{713BED3C-91A6-45AE-BF69-4B152306CF75}" sibTransId="{10183789-E786-4C7E-84A8-96AAF873E7E0}"/>
    <dgm:cxn modelId="{667DAEE9-A047-44D4-BA02-970F687B0A89}" type="presOf" srcId="{B21CED47-8011-4A26-AC1F-F83C1C5259E4}" destId="{42C82D06-507C-40C3-856A-F778EE8F07F7}" srcOrd="0" destOrd="4" presId="urn:microsoft.com/office/officeart/2005/8/layout/process2"/>
    <dgm:cxn modelId="{45EBA2F5-824E-441F-AE7D-03054952D540}" srcId="{CE560222-44FE-4EAE-9873-682A2BD29CD0}" destId="{E79B0F86-046F-4A89-9E61-4D828DFF6AD9}" srcOrd="3" destOrd="0" parTransId="{064CB444-2139-4542-AECE-49991DD9C128}" sibTransId="{96B7775B-0D7D-45F1-A8B0-03466407FA4F}"/>
    <dgm:cxn modelId="{862612F9-DC45-4D64-86DA-16BE8A67ED04}" type="presOf" srcId="{CE560222-44FE-4EAE-9873-682A2BD29CD0}" destId="{07F6CA29-19CC-4F82-BE6C-60F25E6B39D4}" srcOrd="0" destOrd="0" presId="urn:microsoft.com/office/officeart/2005/8/layout/process2"/>
    <dgm:cxn modelId="{E203DA2D-32C4-4E09-8CC5-7C5536EE34D2}" type="presParOf" srcId="{07F6CA29-19CC-4F82-BE6C-60F25E6B39D4}" destId="{65046A1D-913D-42B2-B0F6-735D4845A0D8}" srcOrd="0" destOrd="0" presId="urn:microsoft.com/office/officeart/2005/8/layout/process2"/>
    <dgm:cxn modelId="{8F88A232-5446-4D4F-9B0A-E409BE13AD23}" type="presParOf" srcId="{07F6CA29-19CC-4F82-BE6C-60F25E6B39D4}" destId="{D640F07E-114D-4F7C-9B3D-F8C5AF94C1AE}" srcOrd="1" destOrd="0" presId="urn:microsoft.com/office/officeart/2005/8/layout/process2"/>
    <dgm:cxn modelId="{4ECC1DF2-579C-4DD5-8082-27547ED4DD3F}" type="presParOf" srcId="{D640F07E-114D-4F7C-9B3D-F8C5AF94C1AE}" destId="{7EBF975C-2970-473A-B004-1ABA2EC602A2}" srcOrd="0" destOrd="0" presId="urn:microsoft.com/office/officeart/2005/8/layout/process2"/>
    <dgm:cxn modelId="{7E10AE9E-A1D2-4E9C-9B45-6FAAB73D16BE}" type="presParOf" srcId="{07F6CA29-19CC-4F82-BE6C-60F25E6B39D4}" destId="{B5BF41FE-EE6D-413D-940A-4CD9C05DCE7A}" srcOrd="2" destOrd="0" presId="urn:microsoft.com/office/officeart/2005/8/layout/process2"/>
    <dgm:cxn modelId="{A6C2311C-30F6-43D2-834D-61A036456EE7}" type="presParOf" srcId="{07F6CA29-19CC-4F82-BE6C-60F25E6B39D4}" destId="{C61AF68F-3E9B-4D9B-9994-23C223D1CE42}" srcOrd="3" destOrd="0" presId="urn:microsoft.com/office/officeart/2005/8/layout/process2"/>
    <dgm:cxn modelId="{93B884C6-049A-4998-B169-0E537BE568A0}" type="presParOf" srcId="{C61AF68F-3E9B-4D9B-9994-23C223D1CE42}" destId="{16E0D095-D71E-4639-9D10-EBECBBFBFA6B}" srcOrd="0" destOrd="0" presId="urn:microsoft.com/office/officeart/2005/8/layout/process2"/>
    <dgm:cxn modelId="{3C97AF19-E7D7-48D3-8F08-D12A617835E1}" type="presParOf" srcId="{07F6CA29-19CC-4F82-BE6C-60F25E6B39D4}" destId="{1764D219-A4E5-404F-BF55-01B4A4D03778}" srcOrd="4" destOrd="0" presId="urn:microsoft.com/office/officeart/2005/8/layout/process2"/>
    <dgm:cxn modelId="{833E6EFF-27D9-4397-BB46-4DAE5559B9A9}" type="presParOf" srcId="{07F6CA29-19CC-4F82-BE6C-60F25E6B39D4}" destId="{F95C0043-5FDF-4310-8EE4-BB5A652D2B3F}" srcOrd="5" destOrd="0" presId="urn:microsoft.com/office/officeart/2005/8/layout/process2"/>
    <dgm:cxn modelId="{B66ABCF3-D067-41E1-B2E2-0E8F64EE530F}" type="presParOf" srcId="{F95C0043-5FDF-4310-8EE4-BB5A652D2B3F}" destId="{1E6C7C47-9486-41E1-AC7C-B0717868DC5A}" srcOrd="0" destOrd="0" presId="urn:microsoft.com/office/officeart/2005/8/layout/process2"/>
    <dgm:cxn modelId="{18BC9627-4EBB-42AB-9E63-FDCC648CF1E4}" type="presParOf" srcId="{07F6CA29-19CC-4F82-BE6C-60F25E6B39D4}" destId="{42C82D06-507C-40C3-856A-F778EE8F07F7}" srcOrd="6" destOrd="0" presId="urn:microsoft.com/office/officeart/2005/8/layout/process2"/>
    <dgm:cxn modelId="{7732D1E5-032F-4421-BD7F-03B257BEF1BE}" type="presParOf" srcId="{07F6CA29-19CC-4F82-BE6C-60F25E6B39D4}" destId="{2F465B75-117E-4896-9FE1-F932ED43E46A}" srcOrd="7" destOrd="0" presId="urn:microsoft.com/office/officeart/2005/8/layout/process2"/>
    <dgm:cxn modelId="{5021CB8A-9CC2-4D2F-B2BF-16F9C53151FA}" type="presParOf" srcId="{2F465B75-117E-4896-9FE1-F932ED43E46A}" destId="{9DF1B634-8395-4F3C-8ED6-E487D63CF9E7}" srcOrd="0" destOrd="0" presId="urn:microsoft.com/office/officeart/2005/8/layout/process2"/>
    <dgm:cxn modelId="{6E8A0F07-9D5C-4E3E-B3D9-1222E58A225E}" type="presParOf" srcId="{07F6CA29-19CC-4F82-BE6C-60F25E6B39D4}" destId="{353E2E53-1DEE-49FF-BF8F-D46C1D36D4EE}" srcOrd="8" destOrd="0" presId="urn:microsoft.com/office/officeart/2005/8/layout/process2"/>
  </dgm:cxnLst>
  <dgm:bg>
    <a:noFill/>
    <a:effectLst>
      <a:glow rad="101600">
        <a:schemeClr val="accent5">
          <a:satMod val="175000"/>
          <a:alpha val="40000"/>
        </a:schemeClr>
      </a:glow>
    </a:effectLst>
  </dgm:bg>
  <dgm:whole/>
  <dgm:extLst>
    <a:ext uri="http://schemas.microsoft.com/office/drawing/2008/diagram">
      <dsp:dataModelExt xmlns:dsp="http://schemas.microsoft.com/office/drawing/2008/diagram" relId="rId13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5046A1D-913D-42B2-B0F6-735D4845A0D8}">
      <dsp:nvSpPr>
        <dsp:cNvPr id="0" name=""/>
        <dsp:cNvSpPr/>
      </dsp:nvSpPr>
      <dsp:spPr>
        <a:xfrm>
          <a:off x="2075379" y="219710"/>
          <a:ext cx="2944468" cy="1350188"/>
        </a:xfrm>
        <a:prstGeom prst="roundRect">
          <a:avLst>
            <a:gd name="adj" fmla="val 10000"/>
          </a:avLst>
        </a:prstGeom>
        <a:solidFill>
          <a:schemeClr val="bg1">
            <a:lumMod val="85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3820" tIns="83820" rIns="83820" bIns="8382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200" b="1" kern="1200">
              <a:solidFill>
                <a:schemeClr val="tx1"/>
              </a:solidFill>
            </a:rPr>
            <a:t>Sistema Internacional de Unidades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200" b="1" kern="1200">
              <a:solidFill>
                <a:schemeClr val="tx1"/>
              </a:solidFill>
            </a:rPr>
            <a:t> (SI)</a:t>
          </a:r>
        </a:p>
      </dsp:txBody>
      <dsp:txXfrm>
        <a:off x="2114925" y="259256"/>
        <a:ext cx="2865376" cy="1271096"/>
      </dsp:txXfrm>
    </dsp:sp>
    <dsp:sp modelId="{D640F07E-114D-4F7C-9B3D-F8C5AF94C1AE}">
      <dsp:nvSpPr>
        <dsp:cNvPr id="0" name=""/>
        <dsp:cNvSpPr/>
      </dsp:nvSpPr>
      <dsp:spPr>
        <a:xfrm rot="5360323">
          <a:off x="3492539" y="1489965"/>
          <a:ext cx="302936" cy="607584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3">
                <a:tint val="6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tint val="6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tint val="6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800" kern="1200"/>
        </a:p>
      </dsp:txBody>
      <dsp:txXfrm rot="-5400000">
        <a:off x="3461208" y="1642292"/>
        <a:ext cx="364550" cy="212055"/>
      </dsp:txXfrm>
    </dsp:sp>
    <dsp:sp modelId="{B5BF41FE-EE6D-413D-940A-4CD9C05DCE7A}">
      <dsp:nvSpPr>
        <dsp:cNvPr id="0" name=""/>
        <dsp:cNvSpPr/>
      </dsp:nvSpPr>
      <dsp:spPr>
        <a:xfrm>
          <a:off x="2113608" y="1973760"/>
          <a:ext cx="2927070" cy="1462321"/>
        </a:xfrm>
        <a:prstGeom prst="roundRect">
          <a:avLst>
            <a:gd name="adj" fmla="val 10000"/>
          </a:avLst>
        </a:prstGeom>
        <a:solidFill>
          <a:schemeClr val="bg1">
            <a:lumMod val="75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3820" tIns="83820" rIns="83820" bIns="8382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200" b="1" kern="1200">
              <a:solidFill>
                <a:schemeClr val="tx1"/>
              </a:solidFill>
            </a:rPr>
            <a:t>CENAM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1" kern="1200">
              <a:solidFill>
                <a:schemeClr val="tx1"/>
              </a:solidFill>
            </a:rPr>
            <a:t>National Institute of Metrology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200" b="0" kern="1200">
              <a:solidFill>
                <a:schemeClr val="tx1"/>
              </a:solidFill>
              <a:latin typeface="Calibri"/>
              <a:cs typeface="Calibri"/>
            </a:rPr>
            <a:t>• </a:t>
          </a:r>
          <a:r>
            <a:rPr lang="es-MX" sz="1000" b="0" kern="1200">
              <a:solidFill>
                <a:schemeClr val="tx1"/>
              </a:solidFill>
            </a:rPr>
            <a:t>National Pressure master</a:t>
          </a:r>
        </a:p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000" b="0" kern="1200">
              <a:solidFill>
                <a:schemeClr val="tx1"/>
              </a:solidFill>
              <a:latin typeface="Calibri"/>
              <a:cs typeface="Calibri"/>
            </a:rPr>
            <a:t>• </a:t>
          </a:r>
          <a:r>
            <a:rPr lang="es-MX" sz="1000" b="0" kern="1200">
              <a:solidFill>
                <a:schemeClr val="tx1"/>
              </a:solidFill>
            </a:rPr>
            <a:t>CNM-PNM 19</a:t>
          </a:r>
        </a:p>
      </dsp:txBody>
      <dsp:txXfrm>
        <a:off x="2156438" y="2016590"/>
        <a:ext cx="2841410" cy="1376661"/>
      </dsp:txXfrm>
    </dsp:sp>
    <dsp:sp modelId="{C61AF68F-3E9B-4D9B-9994-23C223D1CE42}">
      <dsp:nvSpPr>
        <dsp:cNvPr id="0" name=""/>
        <dsp:cNvSpPr/>
      </dsp:nvSpPr>
      <dsp:spPr>
        <a:xfrm rot="5400000">
          <a:off x="3323983" y="3469837"/>
          <a:ext cx="506320" cy="607584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3">
                <a:tint val="6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tint val="6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tint val="6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800" kern="1200"/>
        </a:p>
      </dsp:txBody>
      <dsp:txXfrm rot="-5400000">
        <a:off x="3394868" y="3520469"/>
        <a:ext cx="364550" cy="354424"/>
      </dsp:txXfrm>
    </dsp:sp>
    <dsp:sp modelId="{1764D219-A4E5-404F-BF55-01B4A4D03778}">
      <dsp:nvSpPr>
        <dsp:cNvPr id="0" name=""/>
        <dsp:cNvSpPr/>
      </dsp:nvSpPr>
      <dsp:spPr>
        <a:xfrm>
          <a:off x="2084135" y="4111176"/>
          <a:ext cx="2986016" cy="1981738"/>
        </a:xfrm>
        <a:prstGeom prst="roundRect">
          <a:avLst>
            <a:gd name="adj" fmla="val 10000"/>
          </a:avLst>
        </a:prstGeom>
        <a:solidFill>
          <a:schemeClr val="bg1">
            <a:lumMod val="75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400" b="1" kern="1200">
              <a:solidFill>
                <a:schemeClr val="tx1"/>
              </a:solidFill>
            </a:rPr>
            <a:t>IBC </a:t>
          </a:r>
          <a:endParaRPr lang="es-MX" sz="1100" b="1" kern="1200">
            <a:solidFill>
              <a:schemeClr val="tx1"/>
            </a:solidFill>
          </a:endParaRPr>
        </a:p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050" b="1" kern="1200">
              <a:solidFill>
                <a:schemeClr val="tx1"/>
              </a:solidFill>
            </a:rPr>
            <a:t>Modulo de temperatura</a:t>
          </a:r>
        </a:p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050" b="0" kern="1200">
              <a:solidFill>
                <a:schemeClr val="tx1"/>
              </a:solidFill>
              <a:latin typeface="Calibri"/>
              <a:cs typeface="Calibri"/>
            </a:rPr>
            <a:t>• Identificación</a:t>
          </a:r>
          <a:r>
            <a:rPr lang="es-MX" sz="1000" b="0" kern="1200">
              <a:solidFill>
                <a:schemeClr val="tx1"/>
              </a:solidFill>
            </a:rPr>
            <a:t>: IBC-014</a:t>
          </a:r>
        </a:p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000" b="0" kern="1200">
              <a:solidFill>
                <a:schemeClr val="tx1"/>
              </a:solidFill>
            </a:rPr>
            <a:t>Marca: fluke</a:t>
          </a:r>
        </a:p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000" b="0" kern="1200">
              <a:solidFill>
                <a:schemeClr val="tx1"/>
              </a:solidFill>
            </a:rPr>
            <a:t>Modelo: PV350</a:t>
          </a:r>
        </a:p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000" b="0" kern="1200">
              <a:solidFill>
                <a:schemeClr val="tx1"/>
              </a:solidFill>
            </a:rPr>
            <a:t>Serie: 4904070</a:t>
          </a:r>
        </a:p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000" b="0" kern="1200">
              <a:solidFill>
                <a:schemeClr val="tx1"/>
              </a:solidFill>
              <a:latin typeface="Calibri"/>
              <a:cs typeface="Calibri"/>
            </a:rPr>
            <a:t>• Certificado: 1-17017</a:t>
          </a:r>
        </a:p>
      </dsp:txBody>
      <dsp:txXfrm>
        <a:off x="2142178" y="4169219"/>
        <a:ext cx="2869930" cy="1865652"/>
      </dsp:txXfrm>
    </dsp:sp>
    <dsp:sp modelId="{F95C0043-5FDF-4310-8EE4-BB5A652D2B3F}">
      <dsp:nvSpPr>
        <dsp:cNvPr id="0" name=""/>
        <dsp:cNvSpPr/>
      </dsp:nvSpPr>
      <dsp:spPr>
        <a:xfrm rot="5381067">
          <a:off x="3312746" y="6151584"/>
          <a:ext cx="543700" cy="607584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3">
                <a:tint val="6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tint val="6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tint val="6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800" kern="1200"/>
        </a:p>
      </dsp:txBody>
      <dsp:txXfrm rot="-5400000">
        <a:off x="3401872" y="6183527"/>
        <a:ext cx="364550" cy="380590"/>
      </dsp:txXfrm>
    </dsp:sp>
    <dsp:sp modelId="{42C82D06-507C-40C3-856A-F778EE8F07F7}">
      <dsp:nvSpPr>
        <dsp:cNvPr id="0" name=""/>
        <dsp:cNvSpPr/>
      </dsp:nvSpPr>
      <dsp:spPr>
        <a:xfrm>
          <a:off x="2190947" y="6817838"/>
          <a:ext cx="2798727" cy="1350188"/>
        </a:xfrm>
        <a:prstGeom prst="roundRect">
          <a:avLst>
            <a:gd name="adj" fmla="val 10000"/>
          </a:avLst>
        </a:prstGeom>
        <a:solidFill>
          <a:schemeClr val="bg1">
            <a:lumMod val="75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a-ES" sz="1000" b="1" kern="1200"/>
            <a:t>Metrologia y Servicios MYC S.A. de C.V.</a:t>
          </a:r>
        </a:p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1000" kern="1200">
              <a:solidFill>
                <a:schemeClr val="tx1"/>
              </a:solidFill>
            </a:rPr>
            <a:t>Pressure cell hathaway beta gauge II</a:t>
          </a:r>
          <a:endParaRPr lang="ca-ES" sz="1000" b="1" kern="1200"/>
        </a:p>
        <a:p>
          <a:pPr marL="57150" lvl="1" indent="-57150" algn="ctr" defTabSz="3556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800" kern="1200">
              <a:solidFill>
                <a:schemeClr val="tx1"/>
              </a:solidFill>
            </a:rPr>
            <a:t>Marca: Hathaway</a:t>
          </a:r>
        </a:p>
        <a:p>
          <a:pPr marL="57150" lvl="1" indent="-57150" algn="ctr" defTabSz="3556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800" kern="1200">
              <a:solidFill>
                <a:schemeClr val="tx1"/>
              </a:solidFill>
            </a:rPr>
            <a:t>Modelo: Betaport-P</a:t>
          </a:r>
        </a:p>
        <a:p>
          <a:pPr marL="57150" lvl="1" indent="-57150" algn="ctr" defTabSz="3556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800" kern="1200">
              <a:solidFill>
                <a:schemeClr val="tx1"/>
              </a:solidFill>
            </a:rPr>
            <a:t>Serial: 262050</a:t>
          </a:r>
        </a:p>
        <a:p>
          <a:pPr marL="57150" lvl="1" indent="-57150" algn="ctr" defTabSz="3556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800" kern="1200">
              <a:solidFill>
                <a:schemeClr val="tx1"/>
              </a:solidFill>
            </a:rPr>
            <a:t>ID: PRESS-14</a:t>
          </a:r>
        </a:p>
        <a:p>
          <a:pPr marL="57150" lvl="1" indent="-57150" algn="ctr" defTabSz="3556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800" kern="1200">
              <a:solidFill>
                <a:schemeClr val="tx1"/>
              </a:solidFill>
            </a:rPr>
            <a:t>Certificado:  IBC-C--P-0678-2025</a:t>
          </a:r>
        </a:p>
        <a:p>
          <a:pPr marL="57150" lvl="1" indent="-57150" algn="ctr" defTabSz="3556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MX" sz="800" kern="1200">
              <a:solidFill>
                <a:schemeClr val="tx1"/>
              </a:solidFill>
            </a:rPr>
            <a:t>Incertidumbre: </a:t>
          </a:r>
          <a:r>
            <a:rPr lang="es-MX" sz="800" kern="1200">
              <a:solidFill>
                <a:schemeClr val="tx1"/>
              </a:solidFill>
              <a:latin typeface="Calibri"/>
              <a:cs typeface="Calibri"/>
            </a:rPr>
            <a:t>± 0.14 psi</a:t>
          </a:r>
          <a:endParaRPr lang="es-MX" sz="800" kern="1200">
            <a:solidFill>
              <a:schemeClr val="tx1"/>
            </a:solidFill>
          </a:endParaRPr>
        </a:p>
      </dsp:txBody>
      <dsp:txXfrm>
        <a:off x="2230493" y="6857384"/>
        <a:ext cx="2719635" cy="1271096"/>
      </dsp:txXfrm>
    </dsp:sp>
    <dsp:sp modelId="{2F465B75-117E-4896-9FE1-F932ED43E46A}">
      <dsp:nvSpPr>
        <dsp:cNvPr id="0" name=""/>
        <dsp:cNvSpPr/>
      </dsp:nvSpPr>
      <dsp:spPr>
        <a:xfrm rot="5424428">
          <a:off x="3333771" y="8196731"/>
          <a:ext cx="498758" cy="607584"/>
        </a:xfrm>
        <a:prstGeom prst="rightArrow">
          <a:avLst>
            <a:gd name="adj1" fmla="val 60000"/>
            <a:gd name="adj2" fmla="val 50000"/>
          </a:avLst>
        </a:prstGeom>
        <a:gradFill rotWithShape="0">
          <a:gsLst>
            <a:gs pos="0">
              <a:schemeClr val="accent3">
                <a:tint val="6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tint val="6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tint val="6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800" kern="1200"/>
        </a:p>
      </dsp:txBody>
      <dsp:txXfrm rot="-5400000">
        <a:off x="3401407" y="8251145"/>
        <a:ext cx="364550" cy="349131"/>
      </dsp:txXfrm>
    </dsp:sp>
    <dsp:sp modelId="{353E2E53-1DEE-49FF-BF8F-D46C1D36D4EE}">
      <dsp:nvSpPr>
        <dsp:cNvPr id="0" name=""/>
        <dsp:cNvSpPr/>
      </dsp:nvSpPr>
      <dsp:spPr>
        <a:xfrm>
          <a:off x="2171602" y="8833021"/>
          <a:ext cx="2813043" cy="749908"/>
        </a:xfrm>
        <a:prstGeom prst="roundRect">
          <a:avLst>
            <a:gd name="adj" fmla="val 10000"/>
          </a:avLst>
        </a:prstGeom>
        <a:solidFill>
          <a:schemeClr val="bg2">
            <a:lumMod val="50000"/>
          </a:schemeClr>
        </a:solidFill>
        <a:ln>
          <a:noFill/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6200" tIns="76200" rIns="76200" bIns="762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2000" kern="1200">
              <a:solidFill>
                <a:schemeClr val="bg1"/>
              </a:solidFill>
            </a:rPr>
            <a:t>Usuario Final</a:t>
          </a:r>
        </a:p>
      </dsp:txBody>
      <dsp:txXfrm>
        <a:off x="2193566" y="8854985"/>
        <a:ext cx="2769115" cy="70598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2">
  <dgm:title val=""/>
  <dgm:desc val=""/>
  <dgm:catLst>
    <dgm:cat type="process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resizeHandles val="exact"/>
    </dgm:varLst>
    <dgm:alg type="lin">
      <dgm:param type="linDir" val="fromT"/>
    </dgm:alg>
    <dgm:shape xmlns:r="http://schemas.openxmlformats.org/officeDocument/2006/relationships" r:blip="">
      <dgm:adjLst/>
    </dgm:shape>
    <dgm:presOf/>
    <dgm:constrLst>
      <dgm:constr type="h" for="ch" ptType="node" refType="h"/>
      <dgm:constr type="h" for="ch" ptType="sibTrans" refType="h" refFor="ch" refPtType="node" fact="0.5"/>
      <dgm:constr type="w" for="ch" ptType="node" op="equ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choose name="Name0">
          <dgm:if name="Name1" axis="root des" ptType="all node" func="maxDepth" op="gt" val="1">
            <dgm:alg type="tx">
              <dgm:param type="parTxLTRAlign" val="l"/>
              <dgm:param type="parTxRTLAlign" val="r"/>
              <dgm:param type="txAnchorVertCh" val="mid"/>
            </dgm:alg>
          </dgm:if>
          <dgm:else name="Name2">
            <dgm:alg type="tx"/>
          </dgm:else>
        </dgm:choose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w" refType="h" fact="1.8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w" val="NaN" fact="4" max="NaN"/>
          <dgm:rule type="primFontSz" val="5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w" refType="h" fact="0.9"/>
            <dgm:constr type="connDist"/>
            <dgm:constr type="wArH" refType="w" fact="0.5"/>
            <dgm:constr type="hArH" refType="w"/>
            <dgm:constr type="stemThick" refType="w" fact="0.6"/>
            <dgm:constr type="begPad" refType="connDist" fact="0.125"/>
            <dgm:constr type="endPad" refType="connDist" fact="0.125"/>
          </dgm:constrLst>
          <dgm:ruleLst/>
          <dgm:layoutNode name="connectorText">
            <dgm:alg type="tx">
              <dgm:param type="autoTxRot" val="upr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13" Type="http://schemas.microsoft.com/office/2007/relationships/diagramDrawing" Target="../diagrams/drawing1.xml"/><Relationship Id="rId3" Type="http://schemas.openxmlformats.org/officeDocument/2006/relationships/image" Target="../media/image1.png"/><Relationship Id="rId7" Type="http://schemas.openxmlformats.org/officeDocument/2006/relationships/image" Target="../media/image4.png"/><Relationship Id="rId12" Type="http://schemas.openxmlformats.org/officeDocument/2006/relationships/diagramColors" Target="../diagrams/colors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07/relationships/hdphoto" Target="../media/hdphoto1.wdp"/><Relationship Id="rId11" Type="http://schemas.openxmlformats.org/officeDocument/2006/relationships/diagramQuickStyle" Target="../diagrams/quickStyle1.xml"/><Relationship Id="rId5" Type="http://schemas.openxmlformats.org/officeDocument/2006/relationships/image" Target="../media/image3.png"/><Relationship Id="rId10" Type="http://schemas.openxmlformats.org/officeDocument/2006/relationships/diagramLayout" Target="../diagrams/layout1.xml"/><Relationship Id="rId4" Type="http://schemas.openxmlformats.org/officeDocument/2006/relationships/image" Target="../media/image2.gif"/><Relationship Id="rId9" Type="http://schemas.openxmlformats.org/officeDocument/2006/relationships/diagramData" Target="../diagrams/data1.xml"/><Relationship Id="rId1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112597</xdr:colOff>
      <xdr:row>86</xdr:row>
      <xdr:rowOff>190443</xdr:rowOff>
    </xdr:from>
    <xdr:to>
      <xdr:col>4</xdr:col>
      <xdr:colOff>717176</xdr:colOff>
      <xdr:row>100</xdr:row>
      <xdr:rowOff>179294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773205</xdr:colOff>
      <xdr:row>87</xdr:row>
      <xdr:rowOff>0</xdr:rowOff>
    </xdr:from>
    <xdr:to>
      <xdr:col>9</xdr:col>
      <xdr:colOff>1042147</xdr:colOff>
      <xdr:row>100</xdr:row>
      <xdr:rowOff>179351</xdr:rowOff>
    </xdr:to>
    <xdr:graphicFrame macro="">
      <xdr:nvGraphicFramePr>
        <xdr:cNvPr id="14" name="Chart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504825</xdr:colOff>
      <xdr:row>1</xdr:row>
      <xdr:rowOff>10086</xdr:rowOff>
    </xdr:from>
    <xdr:to>
      <xdr:col>9</xdr:col>
      <xdr:colOff>905435</xdr:colOff>
      <xdr:row>5</xdr:row>
      <xdr:rowOff>19049</xdr:rowOff>
    </xdr:to>
    <xdr:grpSp>
      <xdr:nvGrpSpPr>
        <xdr:cNvPr id="16" name="Grupo 2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6619875" y="200586"/>
          <a:ext cx="1324535" cy="770963"/>
          <a:chOff x="447675" y="16430625"/>
          <a:chExt cx="1083603" cy="581025"/>
        </a:xfrm>
      </xdr:grpSpPr>
      <xdr:pic>
        <xdr:nvPicPr>
          <xdr:cNvPr id="23" name="Picture 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7675" y="16500924"/>
            <a:ext cx="499087" cy="50428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pic>
        <xdr:nvPicPr>
          <xdr:cNvPr id="24" name="Picture 2" descr="C:\Users\apirela\Desktop\PJLA Calibration.gif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90600" y="16430625"/>
            <a:ext cx="540678" cy="5810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7</xdr:col>
      <xdr:colOff>362145</xdr:colOff>
      <xdr:row>60</xdr:row>
      <xdr:rowOff>145791</xdr:rowOff>
    </xdr:from>
    <xdr:to>
      <xdr:col>9</xdr:col>
      <xdr:colOff>114495</xdr:colOff>
      <xdr:row>64</xdr:row>
      <xdr:rowOff>31491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74A9060-563B-4F6B-ABB5-439C0375BD33}"/>
            </a:ext>
          </a:extLst>
        </xdr:cNvPr>
        <xdr:cNvPicPr/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3678"/>
                  </a14:imgEffect>
                  <a14:imgEffect>
                    <a14:saturation sat="400000"/>
                  </a14:imgEffect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95" y="10889991"/>
          <a:ext cx="1447800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1247775</xdr:colOff>
      <xdr:row>60</xdr:row>
      <xdr:rowOff>0</xdr:rowOff>
    </xdr:from>
    <xdr:to>
      <xdr:col>3</xdr:col>
      <xdr:colOff>236855</xdr:colOff>
      <xdr:row>63</xdr:row>
      <xdr:rowOff>79375</xdr:rowOff>
    </xdr:to>
    <xdr:pic>
      <xdr:nvPicPr>
        <xdr:cNvPr id="30" name="33 Imagen" descr="IMG_4557.JPG">
          <a:extLst>
            <a:ext uri="{FF2B5EF4-FFF2-40B4-BE49-F238E27FC236}">
              <a16:creationId xmlns:a16="http://schemas.microsoft.com/office/drawing/2014/main" id="{9DA84BB0-B0D9-4177-B794-7FF0482B54FD}"/>
            </a:ext>
          </a:extLst>
        </xdr:cNvPr>
        <xdr:cNvPicPr/>
      </xdr:nvPicPr>
      <xdr:blipFill>
        <a:blip xmlns:r="http://schemas.openxmlformats.org/officeDocument/2006/relationships" r:embed="rId7">
          <a:duotone>
            <a:schemeClr val="accent5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>
                      <a14:backgroundMark x1="19101" y1="36047" x2="19101" y2="36047"/>
                      <a14:backgroundMark x1="32022" y1="24419" x2="32022" y2="24419"/>
                      <a14:backgroundMark x1="58427" y1="24419" x2="58427" y2="24419"/>
                      <a14:backgroundMark x1="25843" y1="52326" x2="25843" y2="52326"/>
                      <a14:backgroundMark x1="53371" y1="52326" x2="53371" y2="52326"/>
                      <a14:backgroundMark x1="37079" y1="60465" x2="37079" y2="60465"/>
                      <a14:backgroundMark x1="60674" y1="73256" x2="60674" y2="73256"/>
                      <a14:backgroundMark x1="46067" y1="77907" x2="46067" y2="77907"/>
                      <a14:backgroundMark x1="28652" y1="95349" x2="28652" y2="95349"/>
                      <a14:backgroundMark x1="71348" y1="80233" x2="71348" y2="80233"/>
                      <a14:backgroundMark x1="85393" y1="67442" x2="85393" y2="67442"/>
                      <a14:backgroundMark x1="82022" y1="29070" x2="82022" y2="29070"/>
                      <a14:backgroundMark x1="95506" y1="25581" x2="95506" y2="25581"/>
                      <a14:backgroundMark x1="16854" y1="22093" x2="16854" y2="22093"/>
                    </a14:backgroundRemoval>
                  </a14:imgEffect>
                  <a14:imgEffect>
                    <a14:artisticPencilGrayscale/>
                  </a14:imgEffect>
                  <a14:imgEffect>
                    <a14:saturation sat="400000"/>
                  </a14:imgEffect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-1373"/>
        <a:stretch>
          <a:fillRect/>
        </a:stretch>
      </xdr:blipFill>
      <xdr:spPr bwMode="auto">
        <a:xfrm>
          <a:off x="1895475" y="10744200"/>
          <a:ext cx="1036955" cy="698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619125</xdr:colOff>
      <xdr:row>133</xdr:row>
      <xdr:rowOff>19050</xdr:rowOff>
    </xdr:from>
    <xdr:to>
      <xdr:col>9</xdr:col>
      <xdr:colOff>695326</xdr:colOff>
      <xdr:row>183</xdr:row>
      <xdr:rowOff>104775</xdr:rowOff>
    </xdr:to>
    <xdr:graphicFrame macro="">
      <xdr:nvGraphicFramePr>
        <xdr:cNvPr id="31" name="Diagram 8">
          <a:extLst>
            <a:ext uri="{FF2B5EF4-FFF2-40B4-BE49-F238E27FC236}">
              <a16:creationId xmlns:a16="http://schemas.microsoft.com/office/drawing/2014/main" id="{3D30EBBB-300E-4AD9-915B-03D6DA2F2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9" r:lo="rId10" r:qs="rId11" r:cs="rId12"/>
        </a:graphicData>
      </a:graphic>
    </xdr:graphicFrame>
    <xdr:clientData/>
  </xdr:twoCellAnchor>
  <xdr:twoCellAnchor editAs="oneCell">
    <xdr:from>
      <xdr:col>0</xdr:col>
      <xdr:colOff>266700</xdr:colOff>
      <xdr:row>0</xdr:row>
      <xdr:rowOff>161925</xdr:rowOff>
    </xdr:from>
    <xdr:to>
      <xdr:col>1</xdr:col>
      <xdr:colOff>823014</xdr:colOff>
      <xdr:row>6</xdr:row>
      <xdr:rowOff>9525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9AA83C48-15C1-4BD8-89BB-2031BDB59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61925"/>
          <a:ext cx="1204014" cy="1057275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65</xdr:row>
      <xdr:rowOff>152400</xdr:rowOff>
    </xdr:from>
    <xdr:to>
      <xdr:col>1</xdr:col>
      <xdr:colOff>880164</xdr:colOff>
      <xdr:row>71</xdr:row>
      <xdr:rowOff>95250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C5A3EB7-D5F5-4D8F-BE01-DFA4058CF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1896725"/>
          <a:ext cx="1204014" cy="105727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125</xdr:row>
      <xdr:rowOff>171450</xdr:rowOff>
    </xdr:from>
    <xdr:to>
      <xdr:col>1</xdr:col>
      <xdr:colOff>861114</xdr:colOff>
      <xdr:row>131</xdr:row>
      <xdr:rowOff>19050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4C43531A-22BC-41DE-BC0B-EE13357CC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23669625"/>
          <a:ext cx="1204014" cy="10572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H\Certificados\INFORMES%20GENERALES\INFORMES%20MASTER%202020\Hoja%20de%20cli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6"/>
      <sheetName val="Registro de clientes"/>
      <sheetName val="Hoja2"/>
      <sheetName val="Hoja1"/>
    </sheetNames>
    <sheetDataSet>
      <sheetData sheetId="0"/>
      <sheetData sheetId="1">
        <row r="1">
          <cell r="A1"/>
          <cell r="B1" t="str">
            <v>CLIENTE</v>
          </cell>
          <cell r="C1" t="str">
            <v>CONTACTO</v>
          </cell>
          <cell r="D1" t="str">
            <v>DIRECCIÓN</v>
          </cell>
        </row>
        <row r="2">
          <cell r="A2">
            <v>1</v>
          </cell>
          <cell r="B2" t="str">
            <v>Honda de México S.A. de C.V.</v>
          </cell>
          <cell r="C2" t="str">
            <v>Yolanda Yebra</v>
          </cell>
          <cell r="D2" t="str">
            <v>Carretera al castillo #7250, Parque Industrial, El Salto, Jalisco.</v>
          </cell>
        </row>
        <row r="3">
          <cell r="A3">
            <v>2</v>
          </cell>
          <cell r="B3" t="str">
            <v>Honda de México S.A. de C.V.</v>
          </cell>
          <cell r="C3" t="str">
            <v>Mario Arias</v>
          </cell>
          <cell r="D3" t="str">
            <v>Carretera al castillo #7250, Parque Industrial, El Salto, Jalisco.</v>
          </cell>
        </row>
        <row r="4">
          <cell r="A4">
            <v>3</v>
          </cell>
          <cell r="B4" t="str">
            <v>Honda de México S.A. de C.V.</v>
          </cell>
          <cell r="C4" t="str">
            <v>Edson Campos</v>
          </cell>
          <cell r="D4" t="str">
            <v>Carretera  Libramiento sur km 6, Col. La Luz, C.P. 38140, Celaya, Guanajuato.</v>
          </cell>
        </row>
        <row r="5">
          <cell r="A5">
            <v>4</v>
          </cell>
          <cell r="B5" t="str">
            <v>Honda de México S.A. de C.V.</v>
          </cell>
          <cell r="C5" t="str">
            <v>Juan Amanza</v>
          </cell>
          <cell r="D5" t="str">
            <v>Carretera  Libramiento Sur Salvatierra km 6, Col. La Luz Celaya, C.P. 38140, Celaya, Guanajuato.</v>
          </cell>
        </row>
        <row r="6">
          <cell r="A6">
            <v>5</v>
          </cell>
          <cell r="B6" t="str">
            <v>Advantia Industrial Service S. de RL. De C.V</v>
          </cell>
          <cell r="D6" t="str">
            <v xml:space="preserve">Av.de la Convención 1914 ote #701 Int.6 Aguascalientes, Aguascalientes. </v>
          </cell>
        </row>
        <row r="7">
          <cell r="A7" t="str">
            <v xml:space="preserve"> </v>
          </cell>
          <cell r="B7" t="str">
            <v>Agua Azul Motors S.A. de C.V.</v>
          </cell>
          <cell r="C7" t="str">
            <v>Daniel Santana.</v>
          </cell>
          <cell r="D7" t="str">
            <v>Calz. Jesús González Gallo No. 450, La Aurora, C.P. 44100, Guadalajara Jalisco.</v>
          </cell>
        </row>
        <row r="8">
          <cell r="A8">
            <v>7</v>
          </cell>
          <cell r="B8" t="str">
            <v>Amarox Pharma S.A. de C.V.</v>
          </cell>
          <cell r="D8" t="str">
            <v xml:space="preserve"> Avenida de los 50 metros #402, Col. Civac, C.P. 62578, Jiutepec, Morelos.</v>
          </cell>
        </row>
        <row r="9">
          <cell r="A9">
            <v>8</v>
          </cell>
          <cell r="B9" t="str">
            <v>Beckve  S.A. de C.V.</v>
          </cell>
          <cell r="C9" t="str">
            <v>Fabiola Valenzuela.</v>
          </cell>
          <cell r="D9" t="str">
            <v>Av. Patria 2112, Santa Isabel, 45110 Zapopan, Jal.</v>
          </cell>
        </row>
        <row r="10">
          <cell r="A10">
            <v>9</v>
          </cell>
          <cell r="B10" t="str">
            <v>Jabil Circuit de México S de RL de CV.</v>
          </cell>
          <cell r="C10" t="str">
            <v>Ing. Hector Jayat</v>
          </cell>
          <cell r="D10" t="str">
            <v>Paseo del Valle #52009 Nave#4, Zapopan Jalisco.</v>
          </cell>
        </row>
        <row r="11">
          <cell r="A11">
            <v>10</v>
          </cell>
          <cell r="B11" t="str">
            <v>Pierburg Pump Technology México S.A. de C.V.</v>
          </cell>
          <cell r="C11" t="str">
            <v>Oscar Ramirez</v>
          </cell>
          <cell r="D11" t="str">
            <v>Carretera Panamericana km 2842A Fracción de Crespo Celaya Guanajuato.</v>
          </cell>
        </row>
        <row r="12">
          <cell r="A12">
            <v>11</v>
          </cell>
          <cell r="B12" t="str">
            <v>Honda de México S.A. de C.V.</v>
          </cell>
          <cell r="C12" t="str">
            <v>Jorge Reynoso</v>
          </cell>
          <cell r="D12" t="str">
            <v>Carretera al castillo #7250, Parque Industrial, El Salto, Jalisco.</v>
          </cell>
        </row>
        <row r="13">
          <cell r="A13">
            <v>12</v>
          </cell>
          <cell r="B13" t="str">
            <v>Montes y Compañía S.A.DE.C.V.</v>
          </cell>
          <cell r="C13" t="str">
            <v>Ing. Miguel Angel Flores Tapia</v>
          </cell>
          <cell r="D13" t="str">
            <v>Jalisco 17, Santuario,Poncitlan,Jalisco,Mexico</v>
          </cell>
        </row>
        <row r="14">
          <cell r="A14">
            <v>13</v>
          </cell>
          <cell r="B14" t="str">
            <v>Despacho de Ingenieria y Muestreo Ambiental S.A. de C.V.</v>
          </cell>
          <cell r="C14" t="str">
            <v>Martin Roberto Sandoval Rojo</v>
          </cell>
          <cell r="D14" t="str">
            <v>Calle Isla Cartagena 2955, Jardines de la Cruz, 44950 Guadalajara, Jal.</v>
          </cell>
        </row>
        <row r="15">
          <cell r="A15">
            <v>14</v>
          </cell>
          <cell r="B15" t="str">
            <v>Centro Lechero Cooperativo de los Altos S.C.L.</v>
          </cell>
          <cell r="C15" t="str">
            <v>Martin Navarro.</v>
          </cell>
          <cell r="D15" t="str">
            <v>Extramuros #525,Capilla de Guadalupe, Tepatitlán, Jal. C.P.47700</v>
          </cell>
        </row>
        <row r="16">
          <cell r="A16">
            <v>15</v>
          </cell>
          <cell r="B16" t="str">
            <v>Pierburg Pump Technology México S.A. de C.V.</v>
          </cell>
          <cell r="C16" t="str">
            <v>Oscar Ramirez</v>
          </cell>
          <cell r="D16" t="str">
            <v>Carretera Panamericana km 2842A Fracción de Crespo Celaya Guanajuato.</v>
          </cell>
        </row>
        <row r="17">
          <cell r="A17">
            <v>16</v>
          </cell>
          <cell r="B17" t="str">
            <v>Cormecializadora Flexible S.A. De C.V.</v>
          </cell>
          <cell r="C17" t="str">
            <v>Daniel G. Martinez.</v>
          </cell>
          <cell r="D17" t="str">
            <v>Calle San Francisco #215, Valle de la Misericordia, San Pedro Talquepaque, C.P.45655</v>
          </cell>
        </row>
        <row r="18">
          <cell r="A18">
            <v>17</v>
          </cell>
          <cell r="B18" t="str">
            <v>Rogers Foam México S.De R.L. de C.V.</v>
          </cell>
          <cell r="C18" t="str">
            <v>Itzel Dominguez</v>
          </cell>
          <cell r="D18" t="str">
            <v>Periferico Sur F2, Artesanos Industrial, Tlaquepaque, Jalisco.</v>
          </cell>
        </row>
        <row r="19">
          <cell r="A19">
            <v>18</v>
          </cell>
          <cell r="B19" t="str">
            <v>Lapycal</v>
          </cell>
          <cell r="C19" t="str">
            <v>Jorge Jimenez</v>
          </cell>
          <cell r="D19" t="str">
            <v>Av. Revolución #1500, Col. Universitaria, Guadalajara Jalisco.</v>
          </cell>
        </row>
        <row r="20">
          <cell r="A20">
            <v>19</v>
          </cell>
          <cell r="B20" t="str">
            <v>Honda de México S.A. de C.V.</v>
          </cell>
          <cell r="C20" t="str">
            <v>Carlos Garcia</v>
          </cell>
          <cell r="D20" t="str">
            <v>Carretera al castillo #7250, Parque Industrial, El Salto, Jalisco.</v>
          </cell>
        </row>
        <row r="21">
          <cell r="A21">
            <v>20</v>
          </cell>
          <cell r="B21" t="str">
            <v>Eco Energias S.A. de C.V.</v>
          </cell>
          <cell r="C21" t="str">
            <v>Jose Cruz Cervantes</v>
          </cell>
          <cell r="D21" t="str">
            <v>And. Daniel Cabrera # 165 Col. Ricardo Flores</v>
          </cell>
        </row>
        <row r="22">
          <cell r="A22">
            <v>21</v>
          </cell>
          <cell r="B22" t="str">
            <v>Bormann Mexico S.A. De C.V.</v>
          </cell>
          <cell r="C22" t="str">
            <v>Jorge Somosa</v>
          </cell>
          <cell r="D22" t="str">
            <v>Parque Industrial Marabis Abasolo</v>
          </cell>
        </row>
        <row r="23">
          <cell r="A23">
            <v>22</v>
          </cell>
          <cell r="B23" t="str">
            <v>Seiren Viscotec México Abasolo Guanajuato.</v>
          </cell>
          <cell r="C23" t="str">
            <v>Maribel Campos</v>
          </cell>
          <cell r="D23" t="str">
            <v>Luis Ortega 16 A, Jardines del Valle.</v>
          </cell>
        </row>
        <row r="24">
          <cell r="A24">
            <v>23</v>
          </cell>
          <cell r="B24" t="str">
            <v>IBC Metrology.</v>
          </cell>
          <cell r="C24" t="str">
            <v>Raul Solis</v>
          </cell>
          <cell r="D24" t="str">
            <v xml:space="preserve">Privada de Gonzalez 211 </v>
          </cell>
        </row>
        <row r="25">
          <cell r="A25">
            <v>24</v>
          </cell>
          <cell r="B25" t="str">
            <v>Carlos Abraham Ramirez Ricardo.</v>
          </cell>
          <cell r="C25" t="str">
            <v>Carlos Ramirez.</v>
          </cell>
          <cell r="D25" t="str">
            <v>JUAN PONCE DE LEON 2591 FRACCIONAMIENTO COLON INDUSTRIAL GUADALAJARA, JALISCO. México. C.P. 44930</v>
          </cell>
        </row>
        <row r="26">
          <cell r="A26">
            <v>25</v>
          </cell>
          <cell r="B26" t="str">
            <v>Dynatek de México S.A. de C.V.</v>
          </cell>
          <cell r="C26" t="str">
            <v>Hugo Mendoza.</v>
          </cell>
          <cell r="D26" t="str">
            <v>Rio Tijuana #2774-B, Col.Revoluciónm Tijuana, Baja California, C.P. 22015</v>
          </cell>
        </row>
        <row r="27">
          <cell r="A27">
            <v>26</v>
          </cell>
          <cell r="B27" t="str">
            <v>Sistemas de Ingenieria y control ambiental S.A.de C.V.</v>
          </cell>
          <cell r="C27" t="str">
            <v>Mayra López B.</v>
          </cell>
          <cell r="D27" t="str">
            <v>Batalla de Puebla #3643, Col.Tapatio, San Pedro, Tlaquepaque</v>
          </cell>
        </row>
        <row r="28">
          <cell r="A28">
            <v>27</v>
          </cell>
          <cell r="B28" t="str">
            <v>Caycer Ingenieria y Metrología S.A.S.</v>
          </cell>
          <cell r="C28" t="str">
            <v>Miguel Cervantes</v>
          </cell>
          <cell r="D28" t="str">
            <v>Av. Patria #2112, Col. Santa Isabel, C.P. 45110, Zapopan, Jalisco.</v>
          </cell>
        </row>
        <row r="29">
          <cell r="A29">
            <v>28</v>
          </cell>
          <cell r="B29" t="str">
            <v>Audi Center Beckve S.A. de C.V.</v>
          </cell>
          <cell r="C29" t="str">
            <v>Juan Carlos Ponce</v>
          </cell>
          <cell r="D29" t="str">
            <v>Miguel Montes C. 32 Col. Centro C.P. 43950  Guadalajara Jal.</v>
          </cell>
        </row>
        <row r="30">
          <cell r="A30">
            <v>29</v>
          </cell>
          <cell r="B30" t="str">
            <v>Montes y Compañía S.A.DE.C.V.</v>
          </cell>
          <cell r="C30" t="str">
            <v>Ing. Hector Miramontes</v>
          </cell>
          <cell r="D30" t="str">
            <v>Carretera Aguascalientes,Calvillo km 6.5m Col. Viñedos Valle Redondo,C.P.20315</v>
          </cell>
        </row>
        <row r="31">
          <cell r="A31">
            <v>30</v>
          </cell>
          <cell r="B31" t="str">
            <v>Valle Redondo S.A. de C.V.</v>
          </cell>
          <cell r="C31" t="str">
            <v>Selene Bañuelos.</v>
          </cell>
          <cell r="D31" t="str">
            <v>Av. Muebleros 236-A Parque Industrial, Chichimeco, Aguascalientes</v>
          </cell>
        </row>
        <row r="32">
          <cell r="A32">
            <v>31</v>
          </cell>
          <cell r="B32" t="str">
            <v>Inyectech Mexicana S.A. de C.V</v>
          </cell>
          <cell r="C32" t="str">
            <v>Amanda Angelica Gonzalez Sanchez</v>
          </cell>
          <cell r="D32" t="str">
            <v>Carretera los Arellanos P4, Arellano Aguscalientes.</v>
          </cell>
        </row>
        <row r="33">
          <cell r="A33">
            <v>32</v>
          </cell>
          <cell r="B33" t="str">
            <v>Tst Nikkei Metales S.De R.L. De C.V.</v>
          </cell>
          <cell r="C33" t="str">
            <v>Miguel Reyes</v>
          </cell>
          <cell r="D33" t="str">
            <v>Av. Julio Diaz Torre 112,Ciudad Industrial, C.P.20290,Aguascalientes.</v>
          </cell>
        </row>
        <row r="34">
          <cell r="A34">
            <v>33</v>
          </cell>
          <cell r="B34" t="str">
            <v>Smeltek S.A. de C.V.</v>
          </cell>
          <cell r="C34" t="str">
            <v>Ing. Esperanza Vera</v>
          </cell>
          <cell r="D34" t="str">
            <v>Mezquite 106, Parque Industrial, San Francisco de los Romo</v>
          </cell>
        </row>
        <row r="35">
          <cell r="A35">
            <v>34</v>
          </cell>
          <cell r="B35" t="str">
            <v>Teklas Automotive México S.A. De C.V.</v>
          </cell>
          <cell r="C35" t="str">
            <v>Michell Ivonne Romo Aguirre</v>
          </cell>
          <cell r="D35" t="str">
            <v>Angel Dorronso Gandara 106,Ciudad Industrial C.P. 20290, Col Industrial.</v>
          </cell>
        </row>
        <row r="36">
          <cell r="A36">
            <v>35</v>
          </cell>
          <cell r="B36" t="str">
            <v>Donaldson S.A. de C.V.</v>
          </cell>
          <cell r="D36" t="str">
            <v>Carretera San Isidro Mazatepec km 11, No. 99</v>
          </cell>
        </row>
        <row r="37">
          <cell r="A37">
            <v>36</v>
          </cell>
          <cell r="B37" t="str">
            <v>Quimica Marcat S.A.de C.V.</v>
          </cell>
          <cell r="C37" t="str">
            <v>Oliver Montalvo</v>
          </cell>
          <cell r="D37" t="str">
            <v>Av. Cantador No.100 Esq. Av. Mineral de Valenciana, Parque Industrial Santa Fe II, Silao Guanajuato.</v>
          </cell>
        </row>
        <row r="38">
          <cell r="A38">
            <v>37</v>
          </cell>
          <cell r="B38" t="str">
            <v>Corporación Mitsuba de México S.A.de C.V.</v>
          </cell>
          <cell r="C38" t="str">
            <v>Juan Ceballos.</v>
          </cell>
          <cell r="D38" t="str">
            <v>Cruz del Sur #3297, Col la Calma, Zapopan Jalisco.</v>
          </cell>
        </row>
        <row r="39">
          <cell r="A39">
            <v>38</v>
          </cell>
          <cell r="B39" t="str">
            <v xml:space="preserve">Technology &amp; Steel </v>
          </cell>
          <cell r="C39" t="str">
            <v>Antonio Gamiño</v>
          </cell>
          <cell r="D39" t="str">
            <v>Quinta San Ignacio #1021, Frac. Quintas del Valle,Ciudad Juarez, Chihuahua.</v>
          </cell>
        </row>
        <row r="40">
          <cell r="A40">
            <v>39</v>
          </cell>
          <cell r="B40" t="str">
            <v>RF PRECISION LABORATORIO S.A. DE C.V.</v>
          </cell>
          <cell r="C40" t="str">
            <v>Nohemi Mondaca</v>
          </cell>
          <cell r="D40" t="str">
            <v>Av. Niños Heroes 1207, Col Moderna, Guadalajara,Jalisco.</v>
          </cell>
        </row>
        <row r="41">
          <cell r="A41">
            <v>40</v>
          </cell>
          <cell r="B41" t="str">
            <v>Sistemas y Servicios de Automatizaciòn S.A.De C.V.</v>
          </cell>
          <cell r="C41" t="str">
            <v>Ing. Dionisio Casillas</v>
          </cell>
          <cell r="D41" t="str">
            <v>Calle Ramòn Mariscal 202. Col. Ponciano Arriaga.</v>
          </cell>
        </row>
        <row r="42">
          <cell r="A42">
            <v>41</v>
          </cell>
          <cell r="B42" t="str">
            <v>Instrumentaciòn y Control G&amp;E S.A. DE C.V.</v>
          </cell>
          <cell r="C42" t="str">
            <v>Gustavo Flores</v>
          </cell>
          <cell r="D42" t="str">
            <v>Prolongación Tepeyac 1201 Col. Balcones del Sol, Zapopan Jalisco.</v>
          </cell>
        </row>
        <row r="43">
          <cell r="A43">
            <v>42</v>
          </cell>
          <cell r="B43" t="str">
            <v>Soluciones por encima de todo S.A. De C.V.</v>
          </cell>
          <cell r="C43" t="str">
            <v>Ing. Victor Coronado Gomez</v>
          </cell>
          <cell r="D43" t="str">
            <v>Carretera al castillo #7250, Parque Industrial, El Salto, Jalisco.</v>
          </cell>
        </row>
        <row r="44">
          <cell r="A44">
            <v>43</v>
          </cell>
          <cell r="B44" t="str">
            <v>Honda de México S.A. de C.V.</v>
          </cell>
          <cell r="C44" t="str">
            <v>Antonio Fernandez.</v>
          </cell>
          <cell r="D44" t="str">
            <v>Arturo Romo de Vivar 1 Parque Industrial Chichime.</v>
          </cell>
        </row>
        <row r="45">
          <cell r="A45">
            <v>44</v>
          </cell>
          <cell r="B45" t="str">
            <v>Fabrica Nacional de Herramientas S.A.de C.V.</v>
          </cell>
          <cell r="C45" t="str">
            <v>Ing. Oscar Alberto Macias Roman.</v>
          </cell>
          <cell r="D45" t="str">
            <v>Av. Maquiladores #142 Parque Industrial Chichimeco Jesus Maria Aguascalientes.</v>
          </cell>
        </row>
        <row r="46">
          <cell r="A46">
            <v>45</v>
          </cell>
          <cell r="B46" t="str">
            <v>Arrowhead Industries Mèxico S.De R.L. De. C.V.</v>
          </cell>
          <cell r="C46" t="str">
            <v>Ricardo Ramirez</v>
          </cell>
          <cell r="D46" t="str">
            <v>20 de Noviembre #1604, Aguascalientes, Aguascalientes.</v>
          </cell>
        </row>
        <row r="47">
          <cell r="A47">
            <v>46</v>
          </cell>
          <cell r="B47" t="str">
            <v>Bormann De Mexico S.A. De C.V.</v>
          </cell>
          <cell r="C47" t="str">
            <v>Norma Gloria</v>
          </cell>
          <cell r="D47" t="str">
            <v>Calle Panamericana km 8.5 108-B Parque Industrial.</v>
          </cell>
        </row>
        <row r="48">
          <cell r="A48">
            <v>47</v>
          </cell>
          <cell r="B48" t="str">
            <v>Advance Carrier Products Mèxico S.A. de C.V.</v>
          </cell>
          <cell r="C48" t="str">
            <v>Miguel Angel Martinez</v>
          </cell>
          <cell r="D48" t="str">
            <v>Av.Circunvalaciòn Jorge Alvarez #1433, Contry Club.</v>
          </cell>
        </row>
        <row r="49">
          <cell r="A49">
            <v>48</v>
          </cell>
          <cell r="B49" t="str">
            <v>Aldesem Home</v>
          </cell>
          <cell r="C49" t="str">
            <v>Mario Romero Camacho</v>
          </cell>
          <cell r="D49" t="str">
            <v>Circuito Japòn #102, Parque Industrial San Francisco, San Francisco de los Romo Aguascalientes.</v>
          </cell>
        </row>
        <row r="50">
          <cell r="A50">
            <v>49</v>
          </cell>
          <cell r="B50" t="str">
            <v>MI Metal Processing Mexicana S.A. de C.V.</v>
          </cell>
          <cell r="C50" t="str">
            <v>Diana Karina Gaucin Flores</v>
          </cell>
          <cell r="D50" t="str">
            <v>Calle Uno #40 Rancho Medio Kilo, Ejido la Guayaba C.P. 20350, San Francisco de los Romos.</v>
          </cell>
        </row>
        <row r="51">
          <cell r="A51">
            <v>50</v>
          </cell>
          <cell r="B51" t="str">
            <v>GALFER INDUSTRIES, S.A. DE C.V.</v>
          </cell>
          <cell r="C51" t="str">
            <v>Alejandro Hernandez</v>
          </cell>
          <cell r="D51" t="str">
            <v>Colotlan No. 6800-B, Col. Extramuros, Zapopan. C.P.45200.</v>
          </cell>
        </row>
        <row r="52">
          <cell r="A52">
            <v>51</v>
          </cell>
          <cell r="B52" t="str">
            <v>Indorama Ventures Ecomex S.de R.L. de C.V.</v>
          </cell>
          <cell r="C52" t="str">
            <v>Ing. Lazaro Aguilar Franco.</v>
          </cell>
          <cell r="D52" t="str">
            <v>Av. 16 de Septiembre #1066, Col. Moderna Sector Juarez. C.P. 44190 Guadalajara Jalisco.</v>
          </cell>
        </row>
        <row r="53">
          <cell r="A53">
            <v>52</v>
          </cell>
          <cell r="B53" t="str">
            <v>Servicio Nueva Galicia S.A.de C.V.</v>
          </cell>
          <cell r="C53" t="str">
            <v>Leonel Casillas</v>
          </cell>
          <cell r="D53" t="str">
            <v>Privada Av. Victoria # 198, El Salto Jalisco. C.P. 45680</v>
          </cell>
        </row>
        <row r="54">
          <cell r="A54">
            <v>53</v>
          </cell>
          <cell r="B54" t="str">
            <v>Central de fletes Monterrey.</v>
          </cell>
          <cell r="C54" t="str">
            <v>Michelle Sandoval.</v>
          </cell>
          <cell r="D54" t="str">
            <v>Carr. Leòn Cueramaro #3202 Calle Innovaciòn # 100 Parque Industrial San Pedro Vynmsa, Leon Guanajuato</v>
          </cell>
        </row>
        <row r="55">
          <cell r="A55">
            <v>54</v>
          </cell>
          <cell r="B55" t="str">
            <v>Saltillo Lamination S.A. de C.V.</v>
          </cell>
          <cell r="C55" t="str">
            <v>Ing. Fatima Hernandez</v>
          </cell>
          <cell r="D55" t="str">
            <v>Av. Mineral de Valenciano # 114, Parque Industrial, Santa Fe, 2do. Int. Silao, Guanajuato.</v>
          </cell>
        </row>
        <row r="56">
          <cell r="A56">
            <v>55</v>
          </cell>
          <cell r="B56" t="str">
            <v>Hal Aluminium</v>
          </cell>
          <cell r="C56" t="str">
            <v>Fernando Fuentes</v>
          </cell>
          <cell r="D56" t="str">
            <v>Av. Pr. Angel Leaño 401 Modulo 9 Nave 6, Zapopan, Jalisco.</v>
          </cell>
        </row>
        <row r="57">
          <cell r="A57">
            <v>56</v>
          </cell>
          <cell r="B57" t="str">
            <v>Oper maquilas S.R.L. De C.V.</v>
          </cell>
          <cell r="C57" t="str">
            <v>Victor Manuel Villalvazo</v>
          </cell>
          <cell r="D57" t="str">
            <v>Av. Maquiladores #142 Parque Industrial Chichimeco Jesus Maria Aguascalientes.</v>
          </cell>
        </row>
        <row r="58">
          <cell r="A58">
            <v>57</v>
          </cell>
          <cell r="B58" t="str">
            <v>Arrowhead Industries Mèxico S.De R.L. De. C.V.</v>
          </cell>
          <cell r="C58" t="str">
            <v>Ricardo Ramirez</v>
          </cell>
          <cell r="D58" t="str">
            <v>Bulevar Aeropuerto km2 Buenavista, Aguacalientes.</v>
          </cell>
        </row>
        <row r="59">
          <cell r="A59">
            <v>58</v>
          </cell>
          <cell r="B59" t="str">
            <v>Gastronomia Industrial</v>
          </cell>
          <cell r="C59" t="str">
            <v>Brenda Martinez</v>
          </cell>
        </row>
        <row r="60">
          <cell r="A60">
            <v>59</v>
          </cell>
          <cell r="B60" t="str">
            <v>Frimax Carrocerias S de RL. De C.V.</v>
          </cell>
          <cell r="C60" t="str">
            <v>Fernando Fuentes Chavez.</v>
          </cell>
          <cell r="D60" t="str">
            <v>Camino a Santa Cruz del Valle 121, Tlaquepaque Jalisco C.P. 45615</v>
          </cell>
        </row>
        <row r="61">
          <cell r="A61">
            <v>60</v>
          </cell>
          <cell r="B61" t="str">
            <v>Servicios de Ingenieria y Control Avanzado S.A.De.C.V</v>
          </cell>
          <cell r="C61" t="str">
            <v>Jonathan Sanchez.</v>
          </cell>
          <cell r="D61" t="str">
            <v>Av. Claveria #115 Inte.2, Col, Claveria Delegaciòn Azcapolzalco, C.P.02080 CDMX</v>
          </cell>
        </row>
        <row r="62">
          <cell r="A62">
            <v>64</v>
          </cell>
          <cell r="B62" t="str">
            <v xml:space="preserve">HSM Sistemas de Metrologia S.De R.L. De C.V. </v>
          </cell>
          <cell r="C62" t="str">
            <v>David Parroquin Vargas</v>
          </cell>
          <cell r="D62" t="str">
            <v>Bernardo Quintana #630-21 C.P. 76125 Queretaro, Queretaro</v>
          </cell>
        </row>
        <row r="63">
          <cell r="A63">
            <v>65</v>
          </cell>
          <cell r="B63" t="str">
            <v>Comercializadora Sio Industrial S.A. De C.V.</v>
          </cell>
          <cell r="C63" t="str">
            <v>Lic. Diana Marlene</v>
          </cell>
          <cell r="D63" t="str">
            <v>Calle Seguro Social #209, Col. Del trabajo, Aguascalientes, Aguascalientes.</v>
          </cell>
        </row>
        <row r="64">
          <cell r="A64">
            <v>66</v>
          </cell>
          <cell r="B64" t="str">
            <v>Sakalya de Mèxico S.A. de C.V.</v>
          </cell>
          <cell r="C64" t="str">
            <v>Magdalena Mendez</v>
          </cell>
          <cell r="D64" t="str">
            <v>Av. Muebleros # 210 Chichimeco, Aguascalientes, Aguascalientes.</v>
          </cell>
        </row>
        <row r="65">
          <cell r="A65">
            <v>67</v>
          </cell>
          <cell r="B65" t="str">
            <v>Imed Ingenieria Manufactura especializada y diseño</v>
          </cell>
          <cell r="C65" t="str">
            <v>Mayra Esparza</v>
          </cell>
          <cell r="D65" t="str">
            <v>Calle Ing. Tomas Medina Ugarte #510</v>
          </cell>
        </row>
        <row r="66">
          <cell r="A66">
            <v>68</v>
          </cell>
          <cell r="B66" t="str">
            <v>Cemyr Instrumentos</v>
          </cell>
          <cell r="C66" t="str">
            <v>Isabel Gòmez</v>
          </cell>
          <cell r="D66" t="str">
            <v>Av. Las Puentes #207, Col. Las Puentes Sec.2,San Nicolas de la Garza,Nuevo Leòn</v>
          </cell>
        </row>
        <row r="67">
          <cell r="A67">
            <v>69</v>
          </cell>
          <cell r="B67" t="str">
            <v>Milventos de Mèxico S.A.DE.C.V.</v>
          </cell>
          <cell r="C67" t="str">
            <v>Diana Guadalupe Roque.</v>
          </cell>
          <cell r="D67" t="str">
            <v>1 de Mayo S/N, Planta impregnadora M.C.P. 70050, Juchitan, Oaxaca.</v>
          </cell>
        </row>
        <row r="68">
          <cell r="A68">
            <v>70</v>
          </cell>
          <cell r="B68" t="str">
            <v>Manuel Autopart Cortes</v>
          </cell>
          <cell r="C68" t="str">
            <v>Gerardo Cisneros</v>
          </cell>
          <cell r="D68" t="str">
            <v>Av. Colòn 2601-A Fraccionamiento Colon Industrial C.P. 44180, Guadalajara Jalisco.</v>
          </cell>
        </row>
        <row r="69">
          <cell r="A69">
            <v>71</v>
          </cell>
          <cell r="B69" t="str">
            <v>Laboratorio de Analisis Fisicoquimicos Externos</v>
          </cell>
          <cell r="C69" t="str">
            <v>Agustin Lara</v>
          </cell>
          <cell r="D69" t="str">
            <v>Boulevard General Marcelino Garcia Barragan 1421.</v>
          </cell>
        </row>
        <row r="70">
          <cell r="A70">
            <v>72</v>
          </cell>
          <cell r="B70" t="str">
            <v>Dsitribuidoras de Naranjas Tamez S.A. De C.V.</v>
          </cell>
          <cell r="C70" t="str">
            <v>Aaron Tamez</v>
          </cell>
          <cell r="D70" t="str">
            <v>Camino a las Boquillas PTE 504 ,Col.San Javier, Allende , N.L. CP:67350</v>
          </cell>
        </row>
        <row r="71">
          <cell r="A71">
            <v>73</v>
          </cell>
          <cell r="B71" t="str">
            <v>Fernando Rafael Rosas Tornel</v>
          </cell>
          <cell r="C71" t="str">
            <v>Fernando Rosas</v>
          </cell>
          <cell r="D71" t="str">
            <v>Valle de San Felipe · 1268 Int. 4, Tlajomulco de Zuñiga, Jalisco.</v>
          </cell>
        </row>
        <row r="72">
          <cell r="A72">
            <v>74</v>
          </cell>
          <cell r="B72" t="str">
            <v>Saverglass de México SA de CV</v>
          </cell>
          <cell r="C72" t="str">
            <v>Ing. Samuel Navarro</v>
          </cell>
          <cell r="D72" t="str">
            <v>Vialidad México No.201, Parque Industrial, Centro Logistico de Jalisco, Zacoalco de Torres, Jalisco, C.P. 45713</v>
          </cell>
        </row>
        <row r="73">
          <cell r="A73">
            <v>75</v>
          </cell>
          <cell r="B73" t="str">
            <v>Eurostampa Mèxico Labels S.A de C.V.</v>
          </cell>
          <cell r="C73" t="str">
            <v>Luis Vazquez</v>
          </cell>
          <cell r="D73" t="str">
            <v>Parque Pinar emprensarial #175, Zapopan ,Jalisco, C.P. 45220</v>
          </cell>
        </row>
        <row r="74">
          <cell r="A74">
            <v>76</v>
          </cell>
          <cell r="B74" t="str">
            <v>Fertinsumos S.A. de C.V.</v>
          </cell>
          <cell r="C74" t="str">
            <v>Dulce Rodriguez</v>
          </cell>
          <cell r="D74" t="str">
            <v>Carretera Guadalajara Morelia #1800, Int. 62, Santa Cruz de las Flores , Tlajomulco, Jalisco.</v>
          </cell>
        </row>
        <row r="75">
          <cell r="A75">
            <v>77</v>
          </cell>
          <cell r="B75" t="str">
            <v>Misol Automotriz S.A. De. C.V.</v>
          </cell>
          <cell r="C75" t="str">
            <v>Martin Ruiz</v>
          </cell>
          <cell r="D75" t="str">
            <v>Blvd. Diagonal Reforma #3621 Ote, Col- Nuevo Torreòn. C.P. 27060, Torreòn Coahuila.</v>
          </cell>
        </row>
        <row r="76">
          <cell r="A76">
            <v>78</v>
          </cell>
          <cell r="B76" t="str">
            <v>bormann De Mexico S.A. De C.V.</v>
          </cell>
          <cell r="C76" t="str">
            <v>Carlos Ganem</v>
          </cell>
          <cell r="D76" t="str">
            <v>Benjamin Eguiluz #125, Col. Tetlan, C.P. 44620, Guadalajara Jalisco.</v>
          </cell>
        </row>
        <row r="77">
          <cell r="A77">
            <v>79</v>
          </cell>
          <cell r="B77" t="str">
            <v>Calza Garver S.A. de C.V.</v>
          </cell>
          <cell r="C77" t="str">
            <v>Amaury Moreno</v>
          </cell>
          <cell r="D77" t="str">
            <v>Calle 30 #2739, Colòn Industrial, Guadalajara, Jalisco.</v>
          </cell>
        </row>
        <row r="78">
          <cell r="A78">
            <v>80</v>
          </cell>
          <cell r="B78" t="str">
            <v>Popul Auto de Mazatlan S.A.de C.V.</v>
          </cell>
          <cell r="C78" t="str">
            <v>Cesar Arturo Valdez Cuevas</v>
          </cell>
          <cell r="D78" t="str">
            <v>Av. Reforma #2013, Col Flamingos.</v>
          </cell>
        </row>
        <row r="79">
          <cell r="A79">
            <v>81</v>
          </cell>
          <cell r="B79" t="str">
            <v>Gabriel Esau Montes Vazquez.</v>
          </cell>
          <cell r="C79" t="str">
            <v>Gabriel Montes</v>
          </cell>
          <cell r="D79" t="str">
            <v>Moctezuma #19, La Palma, Michoacan.</v>
          </cell>
        </row>
        <row r="80">
          <cell r="A80">
            <v>82</v>
          </cell>
          <cell r="B80" t="str">
            <v>Transportes Teknicos S.A. De C.V.</v>
          </cell>
          <cell r="C80" t="str">
            <v>Kristal</v>
          </cell>
          <cell r="D80" t="str">
            <v>Jose Antonio #101 Col. Parque Industrial  XXI Aguacalientes.</v>
          </cell>
        </row>
        <row r="81">
          <cell r="A81">
            <v>83</v>
          </cell>
          <cell r="B81" t="str">
            <v>Deprag México S.de R.L. De C.V.</v>
          </cell>
          <cell r="C81" t="str">
            <v>Itzel Vargas</v>
          </cell>
          <cell r="D81" t="str">
            <v>Carretera a Nogales #4935, West Plaza Park, C.P.45019, Zapopan, Jalisco</v>
          </cell>
        </row>
        <row r="82">
          <cell r="A82">
            <v>84</v>
          </cell>
          <cell r="B82" t="str">
            <v>Microanalisis de Occidente</v>
          </cell>
          <cell r="C82" t="str">
            <v>Edgar Tolsa</v>
          </cell>
          <cell r="D82" t="str">
            <v>Av. Alemania # 1629 Col. Moderna</v>
          </cell>
        </row>
        <row r="83">
          <cell r="A83">
            <v>85</v>
          </cell>
          <cell r="B83" t="str">
            <v>Fabricas Selectas S.A. DE C.V.</v>
          </cell>
          <cell r="C83" t="str">
            <v>Alondra Guadalupe Cuellar Mendoza</v>
          </cell>
          <cell r="D83" t="str">
            <v>BLVD. Bosque de San Isidro #1116, Col. Valle, C.P. 44130, Guadalajara Jalisco.</v>
          </cell>
        </row>
        <row r="84">
          <cell r="A84">
            <v>86</v>
          </cell>
          <cell r="B84" t="str">
            <v>Automotriz Sinaloense S.A. De C.V.</v>
          </cell>
          <cell r="C84" t="str">
            <v>Suzeth Hernandez</v>
          </cell>
          <cell r="D84" t="str">
            <v>Gabriel Leiba #999, Los Mochis Sinaloa, C.P. 81236</v>
          </cell>
        </row>
        <row r="85">
          <cell r="A85">
            <v>87</v>
          </cell>
          <cell r="B85" t="str">
            <v>Dicilab S.A. De C.V.</v>
          </cell>
          <cell r="C85" t="str">
            <v>Fernando Soliz</v>
          </cell>
          <cell r="D85" t="str">
            <v>Ahuizotl # 4952, Col. Nueva España, Guadalajara, Jalisco.</v>
          </cell>
        </row>
        <row r="86">
          <cell r="A86">
            <v>88</v>
          </cell>
          <cell r="B86" t="str">
            <v>Luabfe de Mèxico S.A de C.V.</v>
          </cell>
          <cell r="C86" t="str">
            <v>Jose Angel Vicencio Hernandez</v>
          </cell>
          <cell r="D86" t="str">
            <v>Osa Mayor #4082 Unidad Cadete Francisco Marquez</v>
          </cell>
        </row>
        <row r="87">
          <cell r="A87">
            <v>89</v>
          </cell>
          <cell r="B87" t="str">
            <v>Constructora Monte S.A. De C.V.</v>
          </cell>
          <cell r="C87" t="str">
            <v>Cesar Portillo Delgadillo</v>
          </cell>
          <cell r="D87" t="str">
            <v>Calderon de la Barca #25A-1, Col. Ladron de Guevara, Guadalajara Jalisco.</v>
          </cell>
        </row>
        <row r="88">
          <cell r="A88">
            <v>90</v>
          </cell>
          <cell r="B88" t="str">
            <v>Productos Doblados de Mexico S.A. De C.V.</v>
          </cell>
          <cell r="C88" t="str">
            <v>Alberto Cortez</v>
          </cell>
          <cell r="D88" t="str">
            <v>Av. Estados Unidos de America 114, Parque Industria.</v>
          </cell>
        </row>
        <row r="89">
          <cell r="A89">
            <v>91</v>
          </cell>
          <cell r="B89" t="str">
            <v xml:space="preserve"> YAKULT, SA DE CV</v>
          </cell>
          <cell r="C89" t="str">
            <v xml:space="preserve"> QBP. CARLOS MENDOZA VELÁZQUEZ</v>
          </cell>
          <cell r="D89" t="str">
            <v>KM 29.5. CARRETERA FEDERAL MÉXICO-PUEBLA COL. SANTA BARBARA C.P. 56530. IXTAPALUCA EDO DE MÉXICO</v>
          </cell>
        </row>
        <row r="90">
          <cell r="A90">
            <v>92</v>
          </cell>
          <cell r="B90" t="str">
            <v>Taysa Talleres y Aceros S.A. de C.V.</v>
          </cell>
          <cell r="C90" t="str">
            <v>Jazmin Montiel</v>
          </cell>
          <cell r="D90" t="str">
            <v>Carretera Federal Mexico, Veracruz km 321 S/N. int 2, Ixtaczoquitlan Veracruz.</v>
          </cell>
        </row>
        <row r="91">
          <cell r="A91">
            <v>93</v>
          </cell>
          <cell r="B91" t="str">
            <v>Procesos Electroliticos De Occidente S.A DE C.V.</v>
          </cell>
          <cell r="C91" t="str">
            <v>Alejandro Raul Aguilera R.</v>
          </cell>
          <cell r="D91" t="str">
            <v>Calle Quetzal# 1169 Col. Moderna, Guadalajara, Jalisco</v>
          </cell>
        </row>
        <row r="92">
          <cell r="A92">
            <v>94</v>
          </cell>
          <cell r="B92" t="str">
            <v>Seat Euromadrid S.A. de C.V.</v>
          </cell>
          <cell r="C92" t="str">
            <v>Daniel Sandoval Muñoz</v>
          </cell>
          <cell r="D92" t="str">
            <v>Av. Lopez Mateos Sur N° 4001, Col. Loma Bonita, Zapopan Jalisco, C.P. 45087</v>
          </cell>
        </row>
        <row r="93">
          <cell r="A93">
            <v>95</v>
          </cell>
          <cell r="B93" t="str">
            <v>Eaton Industries S de RL de CV</v>
          </cell>
          <cell r="C93" t="str">
            <v>Abraham Colunga</v>
          </cell>
          <cell r="D93" t="str">
            <v>Circuito Profr. Enrique Olivares Santana Parque Industrial Aguascalientes, Aguascalientes</v>
          </cell>
        </row>
        <row r="94">
          <cell r="A94">
            <v>96</v>
          </cell>
          <cell r="B94" t="str">
            <v>Aguascalientes Steel Coil Center S.A. de C.V.</v>
          </cell>
          <cell r="C94" t="str">
            <v>Paola Valdez</v>
          </cell>
          <cell r="D94" t="str">
            <v>Circuito Progreso No. 113  Pila Parque Industrial de Logistica Automotriz, Aguascalientes</v>
          </cell>
        </row>
        <row r="95">
          <cell r="A95">
            <v>97</v>
          </cell>
          <cell r="B95" t="str">
            <v xml:space="preserve">Yakult S.A. de C.V. </v>
          </cell>
          <cell r="C95" t="str">
            <v xml:space="preserve">Beatriz Fajarda </v>
          </cell>
          <cell r="D95" t="str">
            <v>Carr. GDL-CHAPALA KM 14, Col. Parque Industrial San jorge, Tlajomulco de Zuñiga, 45670.</v>
          </cell>
        </row>
        <row r="96">
          <cell r="A96">
            <v>98</v>
          </cell>
          <cell r="B96" t="str">
            <v>Montes y Cía S.A. de C.V.</v>
          </cell>
          <cell r="C96" t="str">
            <v>Hector Miramontes Baro</v>
          </cell>
          <cell r="D96" t="str">
            <v>Jalisco 17, Santuario,Poncitlan,Jalisco,Mexico</v>
          </cell>
        </row>
        <row r="97">
          <cell r="A97">
            <v>99</v>
          </cell>
          <cell r="B97" t="str">
            <v>Mans Motors de Torreòn S.A. De C.V.</v>
          </cell>
          <cell r="C97" t="str">
            <v>Carlos Alfredo Perez</v>
          </cell>
          <cell r="D97" t="str">
            <v>Blvd. Independencia #502, Torreòn Coahuila.</v>
          </cell>
        </row>
        <row r="98">
          <cell r="A98">
            <v>100</v>
          </cell>
          <cell r="B98" t="str">
            <v xml:space="preserve">Centro de Diagnóstico Microbiológico e Inmunomolecular
</v>
          </cell>
          <cell r="C98" t="str">
            <v>Maria Gallegos Mendez</v>
          </cell>
          <cell r="D98" t="str">
            <v>Volcan Bezubia #6193, Guadalajara, Jalisco, C.P. 45070</v>
          </cell>
        </row>
        <row r="99">
          <cell r="A99">
            <v>101</v>
          </cell>
          <cell r="B99" t="str">
            <v>Olvia Rosalia Mendoza Espindola</v>
          </cell>
          <cell r="C99" t="str">
            <v>Olvia Rosalia</v>
          </cell>
          <cell r="D99" t="str">
            <v>Pablo Zayar # 118, Col. Loma del Gallo, Guadalajara, Jalisco, C.P. 44760.</v>
          </cell>
        </row>
        <row r="100">
          <cell r="A100">
            <v>102</v>
          </cell>
          <cell r="B100" t="str">
            <v>Hal Aluminium</v>
          </cell>
          <cell r="C100" t="str">
            <v>Luis Fernando Enelias</v>
          </cell>
          <cell r="D100" t="str">
            <v>Circuito Mexiamora Pte. No.185 Parque Ind. Santa Fe, 36275 Silao, Gto.</v>
          </cell>
        </row>
        <row r="101">
          <cell r="A101">
            <v>103</v>
          </cell>
          <cell r="B101" t="str">
            <v>USG Mexico S.A. de C.V.</v>
          </cell>
          <cell r="C101" t="str">
            <v>Fatima Jimenez Fernandez</v>
          </cell>
          <cell r="D101" t="str">
            <v>Calle Nuevo Laredo # 100, Col. los Gomez C.P. 78438  S.L.P.</v>
          </cell>
        </row>
        <row r="102">
          <cell r="A102">
            <v>104</v>
          </cell>
          <cell r="B102" t="str">
            <v>Anteus Constructora SA. De. C.V.</v>
          </cell>
          <cell r="C102" t="str">
            <v>Carlos Garcia</v>
          </cell>
          <cell r="D102" t="str">
            <v>Carlos Merida #53 Col. Lomas del Colli, Zapopan,Jalisco. C.P.45010</v>
          </cell>
        </row>
        <row r="103">
          <cell r="A103">
            <v>105</v>
          </cell>
          <cell r="B103" t="str">
            <v>Surman Polanco S.A.De C.V.</v>
          </cell>
          <cell r="C103" t="str">
            <v>David Perez Salvador</v>
          </cell>
          <cell r="D103" t="str">
            <v>Bahia de la Ascensiòn, Col. Veronica Anzuares, CD. Mexico, Miguel Hidalgo.</v>
          </cell>
        </row>
        <row r="104">
          <cell r="A104">
            <v>106</v>
          </cell>
          <cell r="B104" t="str">
            <v>Recubrimientos Industriales y Geomembranos S.A. De C.V.</v>
          </cell>
          <cell r="C104" t="str">
            <v>Luis Alfonso Mederos Godoy</v>
          </cell>
          <cell r="D104" t="str">
            <v>Caltamo # 3749, Nogalera</v>
          </cell>
        </row>
        <row r="105">
          <cell r="A105">
            <v>107</v>
          </cell>
          <cell r="B105" t="str">
            <v>Luis Alfonso Mederos Godoy</v>
          </cell>
          <cell r="C105" t="str">
            <v>Eduardo Ramirez Lòpez</v>
          </cell>
          <cell r="D105" t="str">
            <v>San Ignacio de Loyola #285-1, Col. Santa Monica.</v>
          </cell>
        </row>
        <row r="106">
          <cell r="A106">
            <v>108</v>
          </cell>
          <cell r="B106" t="str">
            <v>Leco Mèxico S.De R.L. De C.V.</v>
          </cell>
          <cell r="C106" t="str">
            <v xml:space="preserve">German Casas </v>
          </cell>
          <cell r="D106" t="str">
            <v>Av. Lázaro Cárdenas Oriente #4404 Col. Republica, C.P.64900, Monterrey Nuevo Leòn</v>
          </cell>
        </row>
        <row r="107">
          <cell r="A107">
            <v>109</v>
          </cell>
          <cell r="B107" t="str">
            <v>Servishell S.A. De C.V.</v>
          </cell>
          <cell r="C107" t="str">
            <v>Alberto Gutierrez</v>
          </cell>
          <cell r="D107" t="str">
            <v>Calle Victoriano Salado Alvarez #225, Col. Ladron de Guevara C.P.44600, Guadalajara, Jalisco</v>
          </cell>
        </row>
        <row r="108">
          <cell r="A108">
            <v>110</v>
          </cell>
          <cell r="B108" t="str">
            <v xml:space="preserve">PMPS QUÍMICOS S DE R.L DE C.V. </v>
          </cell>
          <cell r="C108" t="str">
            <v>Andrea Hernandez</v>
          </cell>
          <cell r="D108" t="str">
            <v xml:space="preserve"> Ejidos de Cuautitlan Manzana 46 lote 7, Col. Lázaro Cardenas C.P. 54800, Cuautitlan, CDMX</v>
          </cell>
        </row>
        <row r="109">
          <cell r="A109">
            <v>111</v>
          </cell>
          <cell r="B109" t="str">
            <v>Ingenieria Control e Instrumentaciòn S.A.De C.V.</v>
          </cell>
          <cell r="C109" t="str">
            <v>Monica Garcia</v>
          </cell>
          <cell r="D109" t="str">
            <v>220, Bruno Pagliai, Valente Díaz, Ver.</v>
          </cell>
        </row>
        <row r="110">
          <cell r="A110">
            <v>112</v>
          </cell>
          <cell r="B110" t="str">
            <v>Infrage</v>
          </cell>
          <cell r="C110" t="str">
            <v>Jose Manuel Arriata Lugo</v>
          </cell>
          <cell r="D110" t="str">
            <v>Bosque de Limas #18, Col. Bosque de las Lomas.</v>
          </cell>
        </row>
        <row r="111">
          <cell r="A111">
            <v>113</v>
          </cell>
          <cell r="B111" t="str">
            <v>Jose Manuel Arriata Lugo</v>
          </cell>
          <cell r="C111" t="str">
            <v>Karla Echave</v>
          </cell>
          <cell r="D111" t="str">
            <v>Av. Moctezuma No.5270-4, Col. Villa Puerta del Sol.</v>
          </cell>
        </row>
        <row r="112">
          <cell r="A112">
            <v>114</v>
          </cell>
          <cell r="B112" t="str">
            <v>Alimentos Extruidos S.A. De C.V.</v>
          </cell>
          <cell r="C112" t="str">
            <v>Karla Echavez</v>
          </cell>
          <cell r="D112" t="str">
            <v>Antiguo Camino Real a Colima No. 1210, Tlajomulco de Zuñiga C.P.45645.</v>
          </cell>
        </row>
        <row r="113">
          <cell r="A113">
            <v>115</v>
          </cell>
          <cell r="B113" t="str">
            <v>Honda de México S.A. de C.V.</v>
          </cell>
          <cell r="C113" t="str">
            <v>Rebeca Deustua</v>
          </cell>
          <cell r="D113" t="str">
            <v>Carretera al castillo #7250, Parque Industrial, El Salto, Jalisco.</v>
          </cell>
        </row>
        <row r="114">
          <cell r="A114">
            <v>116</v>
          </cell>
          <cell r="B114" t="str">
            <v>Calza Garver S.A. de C.V.</v>
          </cell>
          <cell r="C114" t="str">
            <v>Ing. Elizabeth Gónzales Salas</v>
          </cell>
          <cell r="D114" t="str">
            <v>Calle 30 No. 2739, Zona Industrial.</v>
          </cell>
        </row>
        <row r="115">
          <cell r="A115">
            <v>117</v>
          </cell>
          <cell r="B115" t="str">
            <v>Multi-color Label Corporation México S.A. De C.V.</v>
          </cell>
          <cell r="C115" t="str">
            <v>Jennifer Sandoval</v>
          </cell>
          <cell r="D115" t="str">
            <v>Eugenio Cuzin  # 1085, Zapopan Jal. C.P. 45150</v>
          </cell>
        </row>
        <row r="116">
          <cell r="A116">
            <v>118</v>
          </cell>
          <cell r="B116" t="str">
            <v>Grupo Polesa</v>
          </cell>
          <cell r="C116" t="str">
            <v>Veronica Madero</v>
          </cell>
          <cell r="D116" t="str">
            <v>Carretera Antigua a la Capilla # 1980, El Salto Jalisco.</v>
          </cell>
        </row>
        <row r="117">
          <cell r="A117">
            <v>119</v>
          </cell>
          <cell r="B117" t="str">
            <v>Jabil Circuit de México S de RL de CV.</v>
          </cell>
          <cell r="C117" t="str">
            <v>Hector Fuentes</v>
          </cell>
          <cell r="D117" t="str">
            <v>Paseo del Valle #52009 Nave#4, Zapopan Jalisco.</v>
          </cell>
        </row>
        <row r="118">
          <cell r="A118">
            <v>120</v>
          </cell>
          <cell r="B118" t="str">
            <v>CEMSI S.A. De C.V.</v>
          </cell>
          <cell r="C118" t="str">
            <v>Hector Fuentes</v>
          </cell>
          <cell r="D118" t="str">
            <v>Jose Carrillo #3375, Lomas de Polanco, C.P.44960, Guadalajara, Jalisco</v>
          </cell>
        </row>
        <row r="119">
          <cell r="A119">
            <v>121</v>
          </cell>
          <cell r="B119" t="str">
            <v>Honda de México S.A. de C.V.</v>
          </cell>
          <cell r="C119" t="str">
            <v>Goretti Ramos</v>
          </cell>
          <cell r="D119" t="str">
            <v>Carretera Libramiento Sur, Kilometro 6, Col. La Luz</v>
          </cell>
        </row>
        <row r="120">
          <cell r="A120">
            <v>122</v>
          </cell>
          <cell r="B120" t="str">
            <v>Servicios Enga-ingenieria S.C.</v>
          </cell>
          <cell r="C120" t="str">
            <v>Samuel Guzman</v>
          </cell>
          <cell r="D120" t="str">
            <v>Calle Antonio Vivaldi, Zapopan Jalisco</v>
          </cell>
        </row>
        <row r="121">
          <cell r="A121">
            <v>123</v>
          </cell>
          <cell r="B121" t="str">
            <v>Omni Intel Pack.</v>
          </cell>
          <cell r="C121" t="str">
            <v>Miguel Felipe Ordaz Higareda</v>
          </cell>
          <cell r="D121" t="str">
            <v>Morelos 51, Col. Cuajimalpa, C.P. 05000, Cuajimalpa, CDMX</v>
          </cell>
        </row>
        <row r="122">
          <cell r="A122">
            <v>124</v>
          </cell>
          <cell r="B122" t="str">
            <v>Servicios Metrologicos Mundiales S.A. De C.V.</v>
          </cell>
          <cell r="C122" t="str">
            <v>Gabriel Camarena.</v>
          </cell>
          <cell r="D122" t="str">
            <v>Islas Virgenes # 2117 Col. Jardines De La Cruz  Guadalajara Jal. C.P. 44950</v>
          </cell>
        </row>
        <row r="123">
          <cell r="A123">
            <v>125</v>
          </cell>
          <cell r="B123" t="str">
            <v>ABG Premium Group S.A. De C.V.</v>
          </cell>
          <cell r="C123" t="str">
            <v>Juan Carlos Victoria</v>
          </cell>
          <cell r="D123" t="str">
            <v>Av Niños Héroes 716, Jardines de Los Arcos, 44500 Guadalajara, Jal.</v>
          </cell>
        </row>
        <row r="124">
          <cell r="A124">
            <v>126</v>
          </cell>
          <cell r="B124" t="str">
            <v>Samfrut S.A. de C.V.</v>
          </cell>
          <cell r="C124" t="str">
            <v>Norma Gloria</v>
          </cell>
          <cell r="D124" t="str">
            <v>Bachilleres #15, Col. Ejidal,C.P. 59893, Jacona, Michoacan.</v>
          </cell>
        </row>
        <row r="125">
          <cell r="A125">
            <v>127</v>
          </cell>
          <cell r="B125" t="str">
            <v>Conexiones Plasticas de Aguascalientes S.A De C.V.</v>
          </cell>
          <cell r="C125" t="str">
            <v>Maria Marmolejo</v>
          </cell>
          <cell r="D125" t="str">
            <v>20 de Noviembre N.1604, Morelos Aguascalientes. C.P. 20140</v>
          </cell>
        </row>
        <row r="126">
          <cell r="A126">
            <v>128</v>
          </cell>
          <cell r="B126" t="str">
            <v>Yokohama Industries Americas de México</v>
          </cell>
          <cell r="C126" t="str">
            <v>Elizabeth Ramos</v>
          </cell>
          <cell r="D126" t="str">
            <v>Parque Industrial San Francisco Fase IV, Circuito Cerezos Oriente #101, San Francisco de los Romo, Aguascalientes, C.P.20355, Mexico.</v>
          </cell>
        </row>
        <row r="127">
          <cell r="A127">
            <v>129</v>
          </cell>
          <cell r="B127" t="str">
            <v>Semillas y Cereales San Juanico S.A. De C.V.</v>
          </cell>
          <cell r="C127" t="str">
            <v>Ernestina Aguilera</v>
          </cell>
          <cell r="D127" t="str">
            <v>Av del Mercado #1113, Col. Mercado de Abastos, Guadalajara, Jalisco</v>
          </cell>
        </row>
        <row r="128">
          <cell r="A128">
            <v>130</v>
          </cell>
          <cell r="B128" t="str">
            <v>Tacoma Industrias del Centro S.A. De C.V.</v>
          </cell>
          <cell r="C128" t="str">
            <v>Cesar Gutierrez</v>
          </cell>
          <cell r="D128" t="str">
            <v>Valladolid L. N02</v>
          </cell>
        </row>
        <row r="129">
          <cell r="A129">
            <v>140</v>
          </cell>
          <cell r="B129" t="str">
            <v xml:space="preserve">Reactivos Guadalajara, S. A. DE C. V. </v>
          </cell>
          <cell r="C129" t="str">
            <v>Fatima Mosqueda</v>
          </cell>
          <cell r="D129" t="str">
            <v>Rayón  #185, Col. Centro, C.P.44100</v>
          </cell>
        </row>
        <row r="130">
          <cell r="A130">
            <v>141</v>
          </cell>
          <cell r="B130" t="str">
            <v>Hal Aluminium México S.A. De. C.V.</v>
          </cell>
          <cell r="C130" t="str">
            <v>Ubaldo Alvarez</v>
          </cell>
          <cell r="D130" t="str">
            <v>Av. Mineral de Valenciano # 114, Parque Industrial, Santa Fe, 2do. Int. Silao, Guanajuato.</v>
          </cell>
        </row>
        <row r="131">
          <cell r="A131">
            <v>142</v>
          </cell>
          <cell r="B131" t="str">
            <v>Operadora MPK S.A.P.I De C.V.</v>
          </cell>
          <cell r="C131" t="str">
            <v xml:space="preserve">Lic. Alejandra Rodriguez </v>
          </cell>
          <cell r="D131" t="str">
            <v>Aguascalientes Sur, 2729, Lote 12, Manzana, Jardines.</v>
          </cell>
        </row>
        <row r="132">
          <cell r="A132">
            <v>143</v>
          </cell>
          <cell r="B132" t="str">
            <v>Productora y Maquiladora de Licores S.A. de C.V.</v>
          </cell>
          <cell r="C132" t="str">
            <v>Alejandra Hernandez</v>
          </cell>
          <cell r="D132" t="str">
            <v xml:space="preserve">Carretera a San Antonio de los Horcones km 0.08 </v>
          </cell>
        </row>
        <row r="133">
          <cell r="A133">
            <v>145</v>
          </cell>
          <cell r="B133" t="str">
            <v>Honda de México S.A. de C.V.</v>
          </cell>
          <cell r="C133" t="str">
            <v>Rafael Luna</v>
          </cell>
          <cell r="D133" t="str">
            <v>Carretera Libramiento Sur, Kilometro 6, Col. La Luz</v>
          </cell>
        </row>
        <row r="134">
          <cell r="A134">
            <v>146</v>
          </cell>
          <cell r="B134" t="str">
            <v>Inplamex S.A. De C.V.</v>
          </cell>
          <cell r="C134" t="str">
            <v>Alejandra Soto</v>
          </cell>
          <cell r="D134" t="str">
            <v>Higuera # 183,C.P. 45640, Tlajomulco de Zuñiga, Jalisco</v>
          </cell>
        </row>
        <row r="135">
          <cell r="A135">
            <v>147</v>
          </cell>
          <cell r="B135" t="str">
            <v>NB Foods S. De R.L. De C.V.</v>
          </cell>
          <cell r="C135" t="str">
            <v>Guadalupe López</v>
          </cell>
          <cell r="D135" t="str">
            <v>Av. Jalisco, Ext. #9500, Int. #38, Col. Tesistan,C.P.45100, Zapopan, Jalisco.</v>
          </cell>
        </row>
        <row r="136">
          <cell r="A136">
            <v>148</v>
          </cell>
          <cell r="B136" t="str">
            <v>Jool Comercializadora</v>
          </cell>
          <cell r="C136" t="str">
            <v>Jorge de la Torre</v>
          </cell>
          <cell r="D136" t="str">
            <v>San Jose, #212, Col. Santa Isabel.</v>
          </cell>
        </row>
        <row r="137">
          <cell r="A137">
            <v>149</v>
          </cell>
          <cell r="B137" t="str">
            <v>Pace industries de Chihuahua II, S.A. De C.V.</v>
          </cell>
          <cell r="C137" t="str">
            <v>Victor Estrada</v>
          </cell>
          <cell r="D137" t="str">
            <v>Avenida Alejandro Dumas #11326, Complejo Industrial Chihuahua, C.P. 31136, Chihuahua.</v>
          </cell>
        </row>
        <row r="138">
          <cell r="A138">
            <v>150</v>
          </cell>
          <cell r="B138" t="str">
            <v>British Petroleum</v>
          </cell>
          <cell r="C138" t="str">
            <v>Wendy Hernandez</v>
          </cell>
          <cell r="D138" t="str">
            <v>Santa Fé, Av. 505 18 TH, Floor,Col.Cruz Manca, Cuajinalpa, México.</v>
          </cell>
        </row>
        <row r="139">
          <cell r="A139">
            <v>151</v>
          </cell>
          <cell r="B139" t="str">
            <v>Productos Doblados de Mexico S.A. De C.V.</v>
          </cell>
          <cell r="C139" t="str">
            <v>Mayra Campos</v>
          </cell>
          <cell r="D139" t="str">
            <v>Av. Estados Unidos de America 114, Parque Industria.</v>
          </cell>
        </row>
        <row r="140">
          <cell r="A140">
            <v>152</v>
          </cell>
          <cell r="B140" t="str">
            <v>Shoshiba Mexicana S.A. De.C.V.</v>
          </cell>
          <cell r="C140" t="str">
            <v>Hugo Cesar Cortes Rico</v>
          </cell>
          <cell r="D140" t="str">
            <v>Carretera 45, Norte, km 14.3 325 a Jesus Maria Portu</v>
          </cell>
        </row>
        <row r="141">
          <cell r="A141">
            <v>153</v>
          </cell>
          <cell r="B141" t="str">
            <v>Pastas e Insumos de Occidente S.A. De. C.V.</v>
          </cell>
          <cell r="C141" t="str">
            <v>Ruth Flores.</v>
          </cell>
          <cell r="D141" t="str">
            <v>Carretera libre a Zapotlanejo km. 22.5, Zapotlanejo, Jalisco.</v>
          </cell>
        </row>
        <row r="142">
          <cell r="A142">
            <v>154</v>
          </cell>
          <cell r="B142" t="str">
            <v>Chemico Especialidades Quimicas S.A.De. C.V.</v>
          </cell>
          <cell r="C142" t="str">
            <v>Miriam Parkman</v>
          </cell>
          <cell r="D142" t="str">
            <v>Rio San Juan de Dios #1200, Col. Atlas.</v>
          </cell>
        </row>
        <row r="143">
          <cell r="A143">
            <v>155</v>
          </cell>
          <cell r="B143" t="str">
            <v>Episa</v>
          </cell>
          <cell r="C143" t="str">
            <v>Irving Saucedo</v>
          </cell>
          <cell r="D143" t="str">
            <v>Av. Francisco Zarco #2335, Int.2, Col. Linda vista.</v>
          </cell>
        </row>
        <row r="144">
          <cell r="A144">
            <v>156</v>
          </cell>
          <cell r="B144" t="str">
            <v>Agua Azul Motors S.A. de C.V.</v>
          </cell>
          <cell r="C144" t="str">
            <v>Fernanda Arzate</v>
          </cell>
          <cell r="D144" t="str">
            <v>Calz. Jesús González Gallo No. 450, La Aurora, C.P. 44100, Guadalajara Jalisco.</v>
          </cell>
        </row>
        <row r="145">
          <cell r="A145">
            <v>157</v>
          </cell>
          <cell r="B145" t="str">
            <v>Piciz Chemical S.A. De C.V.</v>
          </cell>
          <cell r="C145" t="str">
            <v>Adriana Noriega</v>
          </cell>
          <cell r="D145" t="str">
            <v>Parque Industrial siglo XXI, Circuito Grijalva, Pte. No.50, Int. 131A, Santa Cruz de las Flores, Tlajomulco de Zuñiga, Jalisco.</v>
          </cell>
        </row>
        <row r="146">
          <cell r="A146">
            <v>158</v>
          </cell>
          <cell r="B146" t="str">
            <v>GPV Americas México S.A.P.I. DE C.V.</v>
          </cell>
          <cell r="C146" t="str">
            <v>Anuar Chavez</v>
          </cell>
          <cell r="D146" t="str">
            <v>Carretera al C.U.C.B.A. 175 int. 27, Parque Industrial, C.P.45220, Zapopan, Jalisco.</v>
          </cell>
        </row>
        <row r="147">
          <cell r="A147">
            <v>159</v>
          </cell>
          <cell r="B147" t="str">
            <v>Bussmann S. de R.L de C.V.</v>
          </cell>
          <cell r="C147" t="str">
            <v>Marco Gomez</v>
          </cell>
          <cell r="D147" t="str">
            <v>Av. La Estacada 451 , Parque Industrial Querétaro; C.P. 76220</v>
          </cell>
        </row>
        <row r="148">
          <cell r="A148">
            <v>160</v>
          </cell>
          <cell r="B148" t="str">
            <v>Centro de Desarrollo en Instrumentación y Capacitación S.C.</v>
          </cell>
          <cell r="C148" t="str">
            <v>Beatríz Díaz de León</v>
          </cell>
          <cell r="D148" t="str">
            <v>Niños Heroes #264, Lomas del Camichin, C.P.45417, Tonala, Jalisco.</v>
          </cell>
        </row>
        <row r="149">
          <cell r="A149">
            <v>161</v>
          </cell>
          <cell r="B149" t="str">
            <v>Pont Aurell y Armengol México  S.A. De C.V.</v>
          </cell>
          <cell r="C149" t="str">
            <v>Uriel Mata Sanchez</v>
          </cell>
          <cell r="D149" t="str">
            <v>Circuito Cerezos Sur #110, Parque Industrial San Francisco de los Romos, Aguascalientes.</v>
          </cell>
        </row>
        <row r="150">
          <cell r="A150">
            <v>162</v>
          </cell>
          <cell r="B150" t="str">
            <v>Uriel Mata Sanchez</v>
          </cell>
          <cell r="C150" t="str">
            <v>Ing. Rene García.</v>
          </cell>
          <cell r="D150" t="str">
            <v>Oyameles #170, Col. La Perla, Nezahualcoyotl, C.P. 57820, Edo. Mex.</v>
          </cell>
        </row>
        <row r="151">
          <cell r="A151">
            <v>163</v>
          </cell>
          <cell r="B151" t="str">
            <v>Materiales Industriales y Accesorios S.A .De C.V.</v>
          </cell>
          <cell r="C151" t="str">
            <v>Miguel Cervantes</v>
          </cell>
          <cell r="D151" t="str">
            <v>Km 22.5, Carretera Guadalajara Morelia, Col. Santa Cruz de las flores, Tlajomulco de Zuñiga, Jal. México C.P. 45640</v>
          </cell>
        </row>
        <row r="152">
          <cell r="A152">
            <v>164</v>
          </cell>
          <cell r="B152" t="str">
            <v>Caycer Ingenieria y Metrología S.A.S.</v>
          </cell>
          <cell r="C152" t="str">
            <v>Damaso Rodrigo Loza Gonzales.</v>
          </cell>
          <cell r="D152" t="str">
            <v>Batalla de Puebla #3643, Col.Tapatio, San Pedro Tlaquepaque, Jalisco, C.P.45588</v>
          </cell>
        </row>
        <row r="153">
          <cell r="A153">
            <v>165</v>
          </cell>
          <cell r="B153" t="str">
            <v>Hidroval S.A. De C.V.</v>
          </cell>
          <cell r="C153" t="str">
            <v>Luis Fernando López Gómez</v>
          </cell>
          <cell r="D153" t="str">
            <v>Calle 6 #2751, Zona Industrial, C.P. 44940, Guadalajara, Jalisco.</v>
          </cell>
        </row>
        <row r="154">
          <cell r="A154">
            <v>166</v>
          </cell>
          <cell r="B154" t="str">
            <v>Luis Fernando López Gómez</v>
          </cell>
          <cell r="C154" t="str">
            <v>Juan Carlos Tiscareño</v>
          </cell>
          <cell r="D154" t="str">
            <v>Chimalpopoca #4547, Mirador del Sol, Zapopan Jalisco</v>
          </cell>
        </row>
        <row r="155">
          <cell r="A155">
            <v>167</v>
          </cell>
          <cell r="B155" t="str">
            <v>Tacoma Industrias del Centro S.A. De C.V.</v>
          </cell>
          <cell r="C155" t="str">
            <v>Jorge Villalobos.</v>
          </cell>
          <cell r="D155" t="str">
            <v>Valladolid L. N02</v>
          </cell>
        </row>
        <row r="156">
          <cell r="A156">
            <v>166</v>
          </cell>
          <cell r="B156" t="str">
            <v xml:space="preserve"> COHMEDIC S.A. de C.V.</v>
          </cell>
          <cell r="C156" t="str">
            <v>Ing. Gonzalo Flores.</v>
          </cell>
          <cell r="D156" t="str">
            <v xml:space="preserve">Av. España #1788, Col. Moderna, Guadalajara, Jalisco </v>
          </cell>
        </row>
        <row r="157">
          <cell r="A157">
            <v>167</v>
          </cell>
          <cell r="B157" t="str">
            <v>VET SCIENCE</v>
          </cell>
          <cell r="C157" t="str">
            <v>Luis Fernando Díaz Pelayo</v>
          </cell>
          <cell r="D157" t="str">
            <v>Justo Sierra 508-A, col. Agua blanca industrial, Zapopán, Jalisco. CP 45235</v>
          </cell>
        </row>
        <row r="158">
          <cell r="A158">
            <v>168</v>
          </cell>
          <cell r="B158" t="str">
            <v>Miguel Vázquez Contreras/CAPYMETRO</v>
          </cell>
          <cell r="C158" t="str">
            <v>Miguel Vázquez Contreras</v>
          </cell>
          <cell r="D158" t="str">
            <v>Patria # 3102, Col. Loma Bonita Ejidal, Zapopan, Jalisco</v>
          </cell>
        </row>
        <row r="159">
          <cell r="A159">
            <v>169</v>
          </cell>
          <cell r="B159" t="str">
            <v>Hella Automotive Mexico S.A. de C.V.</v>
          </cell>
          <cell r="C159" t="str">
            <v>Efrain Orozco Queretaro</v>
          </cell>
          <cell r="D159" t="str">
            <v>Av. Fortuna #184, Local3, Col. Tepeyac Insurgentes, CDMX.</v>
          </cell>
        </row>
        <row r="160">
          <cell r="A160">
            <v>170</v>
          </cell>
          <cell r="B160" t="str">
            <v>NATURAL SYRUP PRODUCER S.A.P.I. DE C.V</v>
          </cell>
          <cell r="C160" t="str">
            <v>Karina Ramos</v>
          </cell>
          <cell r="D160" t="str">
            <v>Carretera al Castillo km 105, El Salto Jalisco.</v>
          </cell>
        </row>
        <row r="161">
          <cell r="A161">
            <v>171</v>
          </cell>
          <cell r="B161" t="str">
            <v>CYMESA S.A.DE.C.V.</v>
          </cell>
          <cell r="D161" t="str">
            <v xml:space="preserve">Carretera Guadalajara - Chapala #9999 Int 3 Colonia Zapote del Valle Tlajomulco de Zuñiga Jalisco Mexico, C.P. 45672
</v>
          </cell>
        </row>
        <row r="162">
          <cell r="A162">
            <v>172</v>
          </cell>
          <cell r="B162" t="str">
            <v>Volkswagen de México S.A. De C.V.</v>
          </cell>
          <cell r="C162" t="str">
            <v>Antonio Plascencia</v>
          </cell>
          <cell r="D162" t="str">
            <v>Lerma 2111, Colonia Mitras Centro Nuevo León, Monterrey</v>
          </cell>
        </row>
        <row r="163">
          <cell r="A163">
            <v>173</v>
          </cell>
          <cell r="B163" t="str">
            <v>Laboratorio 4C México S.A. De C.V.</v>
          </cell>
          <cell r="C163" t="str">
            <v>Carlos Carrasco Espinoza</v>
          </cell>
          <cell r="D163" t="str">
            <v>Autopista México - Puebla, km. 116, San Lorenzo, Puebla.</v>
          </cell>
        </row>
        <row r="164">
          <cell r="A164">
            <v>174</v>
          </cell>
          <cell r="B164" t="str">
            <v>León Motors S.A. De C.V.</v>
          </cell>
          <cell r="C164" t="str">
            <v>Luis Sotelo</v>
          </cell>
          <cell r="D164" t="str">
            <v>Emilia Rumagna #211, La Campiña del Bosque.</v>
          </cell>
        </row>
        <row r="165">
          <cell r="A165">
            <v>175</v>
          </cell>
          <cell r="B165" t="str">
            <v>Corrmec Jorge  Arturo Correa Morales</v>
          </cell>
          <cell r="C165" t="str">
            <v xml:space="preserve">Salvador Sanchez </v>
          </cell>
          <cell r="D165" t="str">
            <v>Cerro Gordo #336, Valle Campestre, Leon Guanajuato.</v>
          </cell>
        </row>
        <row r="166">
          <cell r="A166">
            <v>176</v>
          </cell>
          <cell r="B166" t="str">
            <v>Gescrap Autometal México S.A.De C.V.</v>
          </cell>
          <cell r="C166" t="str">
            <v>Jorge Arturo Correa Morales</v>
          </cell>
          <cell r="D166" t="str">
            <v>Lic. Jesus Reyes Heroles #335, Versalles 2 A sección C.P.20285</v>
          </cell>
        </row>
        <row r="167">
          <cell r="A167">
            <v>177</v>
          </cell>
          <cell r="B167" t="str">
            <v>Hal Aluminium México S.A. De. C.V.</v>
          </cell>
          <cell r="C167" t="str">
            <v>Victor Lara.</v>
          </cell>
          <cell r="D167" t="str">
            <v>Av. Concepción Beistegui N.2007, Zona Industrial Pte.</v>
          </cell>
        </row>
        <row r="168">
          <cell r="A168">
            <v>178</v>
          </cell>
          <cell r="B168" t="str">
            <v>Henniges Automotive</v>
          </cell>
          <cell r="C168" t="str">
            <v>Alma Robledo</v>
          </cell>
          <cell r="D168" t="str">
            <v>Av. Paseo del Valle #4910, CP 45222, Zapopan, Jalisco</v>
          </cell>
        </row>
        <row r="169">
          <cell r="A169">
            <v>179</v>
          </cell>
          <cell r="B169" t="str">
            <v>Zapotlan Residuos S.A. De C.V.</v>
          </cell>
          <cell r="C169" t="str">
            <v>Alma Robledo</v>
          </cell>
          <cell r="D169" t="str">
            <v>Av. Paseo del Valle #4910, CP 45080, Zapopan, Jalisco</v>
          </cell>
        </row>
        <row r="170">
          <cell r="A170">
            <v>180</v>
          </cell>
          <cell r="B170" t="str">
            <v>Champiñones los Altos MB S.A. De C.V.</v>
          </cell>
          <cell r="C170" t="str">
            <v>Roxana Esparza</v>
          </cell>
          <cell r="D170" t="str">
            <v>Plaza Andares, Puerta de Hierro C.P. 45116</v>
          </cell>
        </row>
        <row r="171">
          <cell r="A171">
            <v>190</v>
          </cell>
          <cell r="B171" t="str">
            <v>Mira de Occidente S.A. De C.V.</v>
          </cell>
          <cell r="C171" t="str">
            <v>Carlos Mendez</v>
          </cell>
          <cell r="D171" t="str">
            <v>Calle Fresno 1781, Col.del Fresno, C.P.44900, Guadalajara, Jalisco.</v>
          </cell>
        </row>
        <row r="172">
          <cell r="A172">
            <v>191</v>
          </cell>
          <cell r="B172" t="str">
            <v>Grupo Rolmac S.A. De C.V.</v>
          </cell>
          <cell r="D172" t="str">
            <v>Niños Heroes #1916, Col. Moderna, C.P.44190, Guadalajara, Jalisco.</v>
          </cell>
        </row>
        <row r="173">
          <cell r="A173">
            <v>192</v>
          </cell>
          <cell r="B173" t="str">
            <v>Poliestireno Alfa Gamma S.A. De  C.V.</v>
          </cell>
          <cell r="C173" t="str">
            <v>Pablo Ramirez</v>
          </cell>
          <cell r="D173" t="str">
            <v>José Barba Alonso 103, Cd. Industrial, Su 20290, Aguascalientes, Aguascalientes.</v>
          </cell>
        </row>
        <row r="174">
          <cell r="A174">
            <v>193</v>
          </cell>
          <cell r="B174" t="str">
            <v>CNC Aplicaciones Insdustiales S.A. De C.V.</v>
          </cell>
          <cell r="D174" t="str">
            <v>Jesus Maria Romo # 121-A, Industrial C.P. 20290, Aguascalientes, Aguascalientes.</v>
          </cell>
        </row>
        <row r="175">
          <cell r="A175">
            <v>194</v>
          </cell>
          <cell r="B175" t="str">
            <v>Industrias Andale S.A. De C.V.</v>
          </cell>
          <cell r="D175" t="str">
            <v>Calle #5, Zona Industrial, Guadalajara Jalisco, C.P. 44940.</v>
          </cell>
        </row>
        <row r="176">
          <cell r="A176">
            <v>200</v>
          </cell>
          <cell r="B176" t="str">
            <v>Nucleo Analitico de bioequivalencia S.A. De C.V.</v>
          </cell>
          <cell r="C176" t="str">
            <v>Rebeca Deustua.</v>
          </cell>
          <cell r="D176" t="str">
            <v>Av. Rio Nilo #2113, Col. Lomas del Paradero.</v>
          </cell>
        </row>
        <row r="177">
          <cell r="A177">
            <v>201</v>
          </cell>
          <cell r="B177" t="str">
            <v>GTR Industrial</v>
          </cell>
          <cell r="C177" t="str">
            <v>Oswaldo Gutierrez</v>
          </cell>
          <cell r="D177" t="str">
            <v>Paseo de la Caovas #3320, Col. Tabachines</v>
          </cell>
        </row>
        <row r="178">
          <cell r="A178">
            <v>202</v>
          </cell>
          <cell r="B178" t="str">
            <v>Max World Trading S.A. de C.V.</v>
          </cell>
          <cell r="C178" t="str">
            <v>Ruben Castellanos</v>
          </cell>
          <cell r="D178" t="str">
            <v>Carretera Jamay La Barca km. 3.2, C.P. 47900, Centro, Jamay Jalisco</v>
          </cell>
        </row>
        <row r="179">
          <cell r="A179">
            <v>203</v>
          </cell>
          <cell r="B179" t="str">
            <v>Micropomex S.A. De C.V.</v>
          </cell>
          <cell r="C179" t="str">
            <v>Cleofas Manrique</v>
          </cell>
          <cell r="D179" t="str">
            <v>San Patricio  #1953. Col. Las Pintas, El Salto, Jalisco.</v>
          </cell>
        </row>
        <row r="180">
          <cell r="A180">
            <v>204</v>
          </cell>
          <cell r="B180" t="str">
            <v>Smart PV S.A De C.V.</v>
          </cell>
          <cell r="D180" t="str">
            <v>Volcan Vesubio #4607, Coli Urbano C.P.45070, Zapopan Jalisco.</v>
          </cell>
        </row>
        <row r="181">
          <cell r="A181">
            <v>205</v>
          </cell>
          <cell r="B181" t="str">
            <v>Hexpol Compouding S.A. De C.V.</v>
          </cell>
          <cell r="C181" t="str">
            <v>Alfredo Barbosa</v>
          </cell>
          <cell r="D181" t="str">
            <v>Av.  Japon # 302, Parque Industrial San Francisco de los Romos.</v>
          </cell>
        </row>
        <row r="182">
          <cell r="A182">
            <v>206</v>
          </cell>
          <cell r="B182" t="str">
            <v>Estudio Ingenieria y Cimentación S.A. De C.V.</v>
          </cell>
          <cell r="C182" t="str">
            <v>Polet Alvarado</v>
          </cell>
          <cell r="D182" t="str">
            <v>Hidalgo 68-B San Juan Ocotan, Zapopan Jalisco.</v>
          </cell>
        </row>
        <row r="183">
          <cell r="A183">
            <v>207</v>
          </cell>
          <cell r="B183" t="str">
            <v>Comercializadora de Embutidos S.A De C.V.</v>
          </cell>
          <cell r="C183" t="str">
            <v>Leonardo Aguilar Lerma</v>
          </cell>
          <cell r="D183" t="str">
            <v>Calle Guinea # 110 Col. Tetlan C.P. 44820, Guadalajara, Jalisco.</v>
          </cell>
        </row>
        <row r="184">
          <cell r="A184">
            <v>208</v>
          </cell>
          <cell r="B184" t="str">
            <v>Tecnoval de México S.A. De C.V.</v>
          </cell>
          <cell r="C184" t="str">
            <v>Miguel Rodriguez</v>
          </cell>
          <cell r="D184" t="str">
            <v>Av. Washington #55, Col. San Carlos C.P. 44460, Guadalajara, Jalisco.</v>
          </cell>
        </row>
        <row r="185">
          <cell r="A185">
            <v>209</v>
          </cell>
          <cell r="B185" t="str">
            <v>Kromberg &amp; Schubert</v>
          </cell>
          <cell r="D185" t="str">
            <v>Libramiento Sur km 35 # 200, San Francisco del Rincon.</v>
          </cell>
        </row>
        <row r="186">
          <cell r="A186">
            <v>210</v>
          </cell>
          <cell r="B186" t="str">
            <v>Craft Avia Center S.A.P.I De C.V.</v>
          </cell>
          <cell r="C186" t="str">
            <v>María Luisa Salazar</v>
          </cell>
          <cell r="D186" t="str">
            <v>San Francisco #215, Valle de la Misericordia, Tlaquepaque, Jalisco</v>
          </cell>
        </row>
        <row r="187">
          <cell r="A187">
            <v>211</v>
          </cell>
          <cell r="B187" t="str">
            <v>Comercializadora Flexible S.A. De C.V.</v>
          </cell>
          <cell r="C187" t="str">
            <v>Daniel Martinez</v>
          </cell>
          <cell r="D187" t="str">
            <v>San Francisco #215, Valle de la Misericordia, C.P.45655, Tlaquepaque, Jalisco</v>
          </cell>
        </row>
        <row r="188">
          <cell r="A188">
            <v>212</v>
          </cell>
          <cell r="B188" t="str">
            <v>Corporativo CPM Sureste</v>
          </cell>
          <cell r="C188" t="str">
            <v>Daniel Martinez</v>
          </cell>
          <cell r="D188" t="str">
            <v>Calle 27 A #495A x 56 y 56 A, Col. Itzimna, Merida,Yucatan C.P. 97100</v>
          </cell>
        </row>
        <row r="189">
          <cell r="A189">
            <v>213</v>
          </cell>
          <cell r="B189" t="str">
            <v>Agrotequilera de Jalisco S.A. De C.V.</v>
          </cell>
          <cell r="C189" t="str">
            <v>Pedro Jimenez</v>
          </cell>
          <cell r="D189" t="str">
            <v>Carr. Prolongación de Medina Ascencio #567</v>
          </cell>
        </row>
        <row r="190">
          <cell r="A190">
            <v>214</v>
          </cell>
          <cell r="B190" t="str">
            <v>Corporativo Construye S.A De CV.</v>
          </cell>
          <cell r="C190" t="str">
            <v>Diego Hernandez</v>
          </cell>
          <cell r="D190" t="str">
            <v>Libertad, #301-A, Zona Centro, C.P. 2000.</v>
          </cell>
        </row>
        <row r="191">
          <cell r="A191">
            <v>215</v>
          </cell>
          <cell r="B191" t="str">
            <v>O-Tek México S.A. De C.V.</v>
          </cell>
          <cell r="C191" t="str">
            <v>Daniel Gonzalez</v>
          </cell>
          <cell r="D191" t="str">
            <v>Carretera Aguascalientes Zacatecas km 17.5</v>
          </cell>
        </row>
        <row r="192">
          <cell r="A192">
            <v>216</v>
          </cell>
          <cell r="B192" t="str">
            <v xml:space="preserve"> Volkswagen Lizen Patria S.A. De C.V.</v>
          </cell>
          <cell r="C192" t="str">
            <v>Joel Martinez</v>
          </cell>
          <cell r="D192" t="str">
            <v>Av. Patria #2152, Santa Isabel, Zapopan Jalisco, C.P.54110.</v>
          </cell>
        </row>
        <row r="193">
          <cell r="A193">
            <v>217</v>
          </cell>
          <cell r="B193" t="str">
            <v>Tecnoglobal PH7 S.A. De C.V.</v>
          </cell>
          <cell r="C193" t="str">
            <v>Ing. Juan Manuel Ávila Romo</v>
          </cell>
          <cell r="D193" t="str">
            <v>Av. Del Tigre #2140, El Tigre, C.P.45134, Zapopan, Jalisco.</v>
          </cell>
        </row>
        <row r="194">
          <cell r="A194">
            <v>218</v>
          </cell>
          <cell r="B194" t="str">
            <v>Alimentos Profusa S.A. De C.V.</v>
          </cell>
          <cell r="D194"/>
        </row>
        <row r="195">
          <cell r="A195">
            <v>219</v>
          </cell>
          <cell r="B195" t="str">
            <v>Turboaleaciones S.A. De C.V.</v>
          </cell>
          <cell r="D195" t="str">
            <v>Carretera Zamora, La Barca, Colonia,59610, Zamora de Hidalgo, Michoacan.</v>
          </cell>
        </row>
        <row r="196">
          <cell r="A196">
            <v>220</v>
          </cell>
          <cell r="B196" t="str">
            <v>Limpieza de parcelas Zacatecas S.A. De C. V.</v>
          </cell>
          <cell r="C196" t="str">
            <v>Lic. Jose de Jesus Andrade Mejia</v>
          </cell>
          <cell r="D196" t="str">
            <v>Blvd. Adolfo López Mateos #653, Col. Centro C.P. 59300, La Piedad Michoacan.</v>
          </cell>
        </row>
        <row r="197">
          <cell r="A197">
            <v>221</v>
          </cell>
          <cell r="B197" t="str">
            <v>Siteur</v>
          </cell>
          <cell r="C197" t="str">
            <v>Ruben Perez Juarez.</v>
          </cell>
          <cell r="D197" t="str">
            <v>Carretera Int. Km 83, Ixpalino y 26 Sur, Arroyitos, La Cruz, La Cruz, Sin. C.P.82702</v>
          </cell>
        </row>
        <row r="198">
          <cell r="A198">
            <v>222</v>
          </cell>
          <cell r="B198" t="str">
            <v>Anchor S.A. De C.V.</v>
          </cell>
          <cell r="C198" t="str">
            <v>Ramón Cuevas</v>
          </cell>
          <cell r="D198" t="str">
            <v>Andres Bello #4450</v>
          </cell>
        </row>
        <row r="199">
          <cell r="A199">
            <v>223</v>
          </cell>
          <cell r="B199" t="str">
            <v>Global Ends S.A. De C.V.</v>
          </cell>
          <cell r="C199" t="str">
            <v>Osmar Terriquez Rodriguez.</v>
          </cell>
          <cell r="D199" t="str">
            <v>Calle 30 #2614, Zona Industrial, Guadalajara, Jalisco.</v>
          </cell>
        </row>
        <row r="200">
          <cell r="A200">
            <v>224</v>
          </cell>
          <cell r="B200" t="str">
            <v>Compañía Alimenticia Rivera Romo S.A. De C.V.</v>
          </cell>
          <cell r="C200" t="str">
            <v>Sandra de Santiago de Anda.</v>
          </cell>
          <cell r="D200" t="str">
            <v>Carretera Libramiento Norte # 8970, C.P. 47400, Lagos de Moreno,Jalisco</v>
          </cell>
        </row>
        <row r="201">
          <cell r="A201">
            <v>225</v>
          </cell>
          <cell r="B201" t="str">
            <v>Xinquan México Automotive Trim S.De R.L. De C.V.</v>
          </cell>
          <cell r="C201" t="str">
            <v>Maria de la Luna</v>
          </cell>
          <cell r="D201" t="str">
            <v>Av. Independencia #502, Col. Fracc. El Sol, Aguascalientes.</v>
          </cell>
        </row>
        <row r="202">
          <cell r="A202">
            <v>226</v>
          </cell>
          <cell r="B202" t="str">
            <v>Empaque de Mango San Andres S. de PR de RI</v>
          </cell>
          <cell r="C202" t="str">
            <v>Jose Heriberto Castro</v>
          </cell>
          <cell r="D202" t="str">
            <v>Convención de #1914, Norte 435, Gremial, Aguascalientes.</v>
          </cell>
        </row>
        <row r="203">
          <cell r="A203">
            <v>227</v>
          </cell>
          <cell r="B203" t="str">
            <v>Prestadora Integral de Servicios para la industria de Occidente S.A. De C.V.</v>
          </cell>
          <cell r="C203" t="str">
            <v>Karina Ramos</v>
          </cell>
          <cell r="D203" t="str">
            <v>Francisco I Madero #549. Col. Gabriel LeybaC.P. 82460 Escuinapa Sinaloa</v>
          </cell>
        </row>
        <row r="204">
          <cell r="A204">
            <v>228</v>
          </cell>
          <cell r="B204" t="str">
            <v>Logicbus S.A. De C.V.</v>
          </cell>
          <cell r="C204" t="str">
            <v>Karina Santi</v>
          </cell>
          <cell r="D204" t="str">
            <v>Privada Golondrina # 142, Col. Paseos del Lago, C.P. 45619, San pedro tlaquepaque Jalisco</v>
          </cell>
        </row>
        <row r="205">
          <cell r="A205">
            <v>229</v>
          </cell>
          <cell r="B205" t="str">
            <v>Nutrilite S. De R.L. De C.V.</v>
          </cell>
          <cell r="C205" t="str">
            <v>Jaime Osvaldo Mundo Carreón.</v>
          </cell>
          <cell r="D205" t="str">
            <v>Av.Mexico 8, SN, Col.  El Petacal, Jalisco, C.P.49720.</v>
          </cell>
        </row>
        <row r="206">
          <cell r="A206">
            <v>230</v>
          </cell>
          <cell r="B206" t="str">
            <v>Agroexportadora Roy S.A. De C.V.</v>
          </cell>
          <cell r="C206" t="str">
            <v>Miguel Ángel Aguirre Orozco</v>
          </cell>
          <cell r="D206" t="str">
            <v>Km 22.5, Carretera Gabriel Zamora, Nuevo Urecho, Michoacan.</v>
          </cell>
        </row>
        <row r="207">
          <cell r="A207">
            <v>231</v>
          </cell>
          <cell r="B207" t="str">
            <v>Centro hospitalario MAC Guadalajara.</v>
          </cell>
          <cell r="C207" t="str">
            <v>Ing. Emmanuel Pimentel.</v>
          </cell>
          <cell r="D207" t="str">
            <v>Av. Hidalgo #930, Col. Centro, Guadalajara, Jalisco, México.</v>
          </cell>
        </row>
        <row r="208">
          <cell r="A208">
            <v>232</v>
          </cell>
          <cell r="B208" t="str">
            <v>Surtidora de Alambres y Aceros del Pacifico S.A de C.V.</v>
          </cell>
          <cell r="C208" t="str">
            <v>Hector Alvarado</v>
          </cell>
          <cell r="D208" t="str">
            <v>Preriferico Sur #6290, Col. López Portillo, C.P. 45615, Tlaquepaque, Jalisco.</v>
          </cell>
        </row>
        <row r="209">
          <cell r="A209">
            <v>233</v>
          </cell>
          <cell r="B209" t="str">
            <v>Especialidades Agroquimicas S.A De. C.V.</v>
          </cell>
          <cell r="C209" t="str">
            <v>Ingeniero Rafael Rodríguez Juárez</v>
          </cell>
          <cell r="D209" t="str">
            <v>El Zapote #500, Fracc. El Tigre Zapopan, Jalisco, Mexico.</v>
          </cell>
        </row>
        <row r="210">
          <cell r="A210">
            <v>234</v>
          </cell>
          <cell r="B210" t="str">
            <v>Novafar S.A. De C.V.</v>
          </cell>
          <cell r="C210" t="str">
            <v>Luis Gonzalez.</v>
          </cell>
          <cell r="D210" t="str">
            <v>Calle Justo Sierra #933, Col. Agua Blanca, Zapopan, Jalisco.</v>
          </cell>
        </row>
        <row r="211">
          <cell r="A211">
            <v>235</v>
          </cell>
          <cell r="B211" t="str">
            <v>CMC Metrology S.A. De C.V.</v>
          </cell>
          <cell r="C211" t="str">
            <v>Mauricio Sanchez</v>
          </cell>
          <cell r="D211" t="str">
            <v>Paseo Hidalgo del Parral #137.</v>
          </cell>
        </row>
        <row r="212">
          <cell r="A212">
            <v>236</v>
          </cell>
          <cell r="B212" t="str">
            <v>Flextronics Technologies México S.R.L.De C.V.</v>
          </cell>
          <cell r="C212" t="str">
            <v>Ramiro Falcon.</v>
          </cell>
          <cell r="D212" t="str">
            <v>Prol. Av. López Mateos Sur 2915 km 6.5, Colonia La Tijera, C.P.45650, Tlajomulco de Zuñiga.</v>
          </cell>
        </row>
        <row r="213">
          <cell r="A213">
            <v>237</v>
          </cell>
          <cell r="B213" t="str">
            <v>LC Farma S.A. De C.V.</v>
          </cell>
          <cell r="C213" t="str">
            <v>Paola Nahomi Olmedo</v>
          </cell>
          <cell r="D213" t="str">
            <v>Blvd. la Carreta #786 col, Parque Industrial Belenes, 45145 Zapopan, Jal.</v>
          </cell>
        </row>
        <row r="214">
          <cell r="A214">
            <v>238</v>
          </cell>
          <cell r="B214" t="str">
            <v>Casa Tradición  S.A De C.V.</v>
          </cell>
          <cell r="C214" t="str">
            <v>Alfonso Hernandez Muñoz</v>
          </cell>
          <cell r="D214" t="str">
            <v>Anillo Periferico Sur, Cura Salvador Zuñiga #1885, Tepatitlan Jalisco, C.P. 45645.</v>
          </cell>
        </row>
        <row r="215">
          <cell r="A215">
            <v>239</v>
          </cell>
          <cell r="B215" t="str">
            <v xml:space="preserve">Edgar Simón Orozco Camacho </v>
          </cell>
          <cell r="C215" t="str">
            <v>Angel Suarez Duran</v>
          </cell>
          <cell r="D215" t="str">
            <v>Calle Campeche #33, Col. Valle Ceylan, Tlanepantla, CDMX, C.P.54150</v>
          </cell>
        </row>
        <row r="216">
          <cell r="A216">
            <v>240</v>
          </cell>
          <cell r="B216" t="str">
            <v>Manuel Ascencio Curriel</v>
          </cell>
          <cell r="C216" t="str">
            <v xml:space="preserve"> Ing. Manuel Ascencio Curriel</v>
          </cell>
          <cell r="D216" t="str">
            <v>Juan Manuel #69, Col. Centro, Zapopan, Jalisco</v>
          </cell>
        </row>
        <row r="217">
          <cell r="A217">
            <v>241</v>
          </cell>
          <cell r="B217" t="str">
            <v>Agro Tequilera de México S.A. De C.V.</v>
          </cell>
          <cell r="C217" t="str">
            <v>Jesus Muñoz</v>
          </cell>
          <cell r="D217" t="str">
            <v>Prolongación Medina Ascencio #87, C.P. 45368</v>
          </cell>
        </row>
        <row r="218">
          <cell r="A218">
            <v>242</v>
          </cell>
          <cell r="B218" t="str">
            <v>Tenmfg de México S. De RL. De C.V.</v>
          </cell>
          <cell r="C218" t="str">
            <v>Adriana Cardenas</v>
          </cell>
          <cell r="D218" t="str">
            <v>Calle Nemesis #100, Parque Industrial Kalos.</v>
          </cell>
        </row>
        <row r="219">
          <cell r="A219">
            <v>243</v>
          </cell>
          <cell r="B219" t="str">
            <v>Poleman Comercial S.A. De C.V.</v>
          </cell>
          <cell r="C219" t="str">
            <v>Adrian Zapata</v>
          </cell>
          <cell r="D219" t="str">
            <v>Av. México 3370 Int. F-14, Col. Monraz, C.P. 44670, Guadalajara, Jal</v>
          </cell>
        </row>
        <row r="220">
          <cell r="A220">
            <v>244</v>
          </cell>
          <cell r="B220" t="str">
            <v>Zurich Tec de México S.A. De C.V.</v>
          </cell>
          <cell r="C220" t="str">
            <v>Jose Romero</v>
          </cell>
          <cell r="D220" t="str">
            <v>Lago Mayor #206, Tamaulipas Sec.Virgencitas, CDMX, C.P.57300.</v>
          </cell>
        </row>
        <row r="221">
          <cell r="A221">
            <v>245</v>
          </cell>
          <cell r="B221" t="str">
            <v>Yaskawa México S.A. De C.V.</v>
          </cell>
          <cell r="D221" t="str">
            <v>Circuito Aguascalientes OTE 132, Parque Ind. Valle de Aguascalientes, San Francisco de los Romos.</v>
          </cell>
        </row>
        <row r="222">
          <cell r="A222">
            <v>246</v>
          </cell>
          <cell r="B222" t="str">
            <v>Sistemas Eléctricos Industriales y Comerciales</v>
          </cell>
          <cell r="C222" t="str">
            <v>Francisco Mora</v>
          </cell>
          <cell r="D222" t="str">
            <v>San Felipe #1138, El Refugio, C.P. 44200, Guadalajara, Jalisco.</v>
          </cell>
        </row>
        <row r="223">
          <cell r="A223">
            <v>247</v>
          </cell>
          <cell r="B223" t="str">
            <v>International Baskets S.A. De C.V.</v>
          </cell>
          <cell r="C223" t="str">
            <v>Francisco Mora</v>
          </cell>
          <cell r="D223" t="str">
            <v>Transformación #22, Corredor Industrial Ruta 80, Cocula,Jalisco.</v>
          </cell>
        </row>
        <row r="224">
          <cell r="A224">
            <v>248</v>
          </cell>
          <cell r="B224" t="str">
            <v>Monsa Molinos S.A. De C.V.</v>
          </cell>
          <cell r="C224" t="str">
            <v>Marco Gonzalez</v>
          </cell>
          <cell r="D224" t="str">
            <v>Quetzal No. 1124, Col. Morelos, Guadalajara, Jalisco,México, C.P. 44910.</v>
          </cell>
        </row>
        <row r="225">
          <cell r="A225">
            <v>249</v>
          </cell>
          <cell r="B225" t="str">
            <v>Doirter de RL de C.V.</v>
          </cell>
          <cell r="C225" t="str">
            <v>Aaron Osuna Uribe.</v>
          </cell>
          <cell r="D225" t="str">
            <v>Av. Mexico205, Parque Industrial San Francisco de los Romos Ags. C.P. 20300</v>
          </cell>
        </row>
        <row r="226">
          <cell r="A226">
            <v>250</v>
          </cell>
          <cell r="B226" t="str">
            <v>Pace industries de Chihuahua II, S.A. De C.V.</v>
          </cell>
          <cell r="C226" t="str">
            <v>Dniel Romo</v>
          </cell>
          <cell r="D226" t="str">
            <v>Avenida Alejandro Dumas #11326, Complejo Industrial Chihuahua, C.P. 31136, Chihuahua</v>
          </cell>
        </row>
        <row r="227">
          <cell r="A227">
            <v>251</v>
          </cell>
          <cell r="B227" t="str">
            <v>Wise International Custom S.A. De C.V.</v>
          </cell>
          <cell r="C227" t="str">
            <v xml:space="preserve"> Jorge de la Torre.</v>
          </cell>
          <cell r="D227" t="str">
            <v>Av. Juan Gil Preciado #2450, Los Robles, C.P. 45134.</v>
          </cell>
        </row>
        <row r="228">
          <cell r="A228">
            <v>252</v>
          </cell>
          <cell r="B228" t="str">
            <v>Tecnology Steel</v>
          </cell>
          <cell r="C228" t="str">
            <v>Victor Rodriguez.</v>
          </cell>
          <cell r="D228" t="str">
            <v>Cruz del Sur #3297, Col la Calma, C.P.45070, Zapopan Jalisco.</v>
          </cell>
        </row>
        <row r="229">
          <cell r="A229">
            <v>253</v>
          </cell>
          <cell r="B229" t="str">
            <v>Agropecuaria Arcilla Roja.</v>
          </cell>
          <cell r="C229" t="str">
            <v>Victor Raya.</v>
          </cell>
          <cell r="D229" t="str">
            <v>Km 13.5, Carretera Tepa- Yahualica.</v>
          </cell>
        </row>
        <row r="230">
          <cell r="A230">
            <v>254</v>
          </cell>
          <cell r="B230" t="str">
            <v>Pace Industries de Chihuahua II S.A De C.V.</v>
          </cell>
          <cell r="C230" t="str">
            <v>Jorge de la Torre</v>
          </cell>
          <cell r="D230" t="str">
            <v>Av. Alejandro Dumas #11326, Complejo Industrial S.A. De C.V.</v>
          </cell>
        </row>
        <row r="231">
          <cell r="A231">
            <v>255</v>
          </cell>
          <cell r="B231" t="str">
            <v>Autobuses y Tractocamiones del Centro S. De RL. De C.</v>
          </cell>
          <cell r="C231" t="str">
            <v>Silvio Hernandez</v>
          </cell>
          <cell r="D231" t="str">
            <v>Carretera Miguel Hidalgo #16, Aguascalientes.</v>
          </cell>
        </row>
        <row r="232">
          <cell r="A232">
            <v>256</v>
          </cell>
          <cell r="B232" t="str">
            <v>Zurichi Tec de México S.A. De C.V.</v>
          </cell>
          <cell r="C232" t="str">
            <v>Jose Maria Guzman Candelas.</v>
          </cell>
          <cell r="D232" t="str">
            <v>Lago Mayor #206, Tamaulipas Sec.Virgencitas, CDMX, C.P.57300.</v>
          </cell>
        </row>
        <row r="233">
          <cell r="A233">
            <v>257</v>
          </cell>
          <cell r="B233" t="str">
            <v>Mantenimiento y Proyectos en edificios Inteligentes S.A. De C.V.</v>
          </cell>
          <cell r="C233" t="str">
            <v>Gustavo Flores</v>
          </cell>
          <cell r="D233" t="str">
            <v>Valerio Trujano #4330, Emilio Zapata.</v>
          </cell>
        </row>
        <row r="234">
          <cell r="A234">
            <v>258</v>
          </cell>
          <cell r="B234" t="str">
            <v>Kuehne + Nagel</v>
          </cell>
          <cell r="C234" t="str">
            <v>Monica Lopez</v>
          </cell>
          <cell r="D234" t="str">
            <v>Carretera El Verde al Castillo 2000 B  Prologis Park, Las Pintas, CP 45680, El Salto, Jalisco</v>
          </cell>
        </row>
        <row r="235">
          <cell r="A235">
            <v>259</v>
          </cell>
          <cell r="B235" t="str">
            <v>Chemech Services S.De R.L. De C.V.</v>
          </cell>
          <cell r="D235" t="str">
            <v>Calle San Francisco No 87 Col Hacienda San Agustín
CP:45645, Tlajomulco de Zuñiga Jalisco.</v>
          </cell>
        </row>
        <row r="236">
          <cell r="A236">
            <v>260</v>
          </cell>
          <cell r="B236" t="str">
            <v>Impresores Unidos del Centro S.A. De C.V.</v>
          </cell>
          <cell r="C236" t="str">
            <v>Vanessa Montolla</v>
          </cell>
          <cell r="D236" t="str">
            <v>Jesus Maria Romo 117-A, Ciudad Industrial Aguscalientes, Aguascalientes C.P. 44950</v>
          </cell>
        </row>
        <row r="237">
          <cell r="A237">
            <v>261</v>
          </cell>
          <cell r="B237" t="str">
            <v>tecklas</v>
          </cell>
          <cell r="D237" t="str">
            <v>Carretera a Nogales 5297 Bodega 34 Campo lago, Zapopan, Jalisco. México. C.P. 45222</v>
          </cell>
        </row>
        <row r="238">
          <cell r="A238">
            <v>262</v>
          </cell>
          <cell r="B238" t="str">
            <v>Wolkswagen Lizen Patria S.A. De C.V.</v>
          </cell>
          <cell r="C238" t="str">
            <v>Oscar Navarro.</v>
          </cell>
          <cell r="D238" t="str">
            <v>Av. Patria #2152, Santa Isabel, Zapopan Jalisco, C.P.45110.</v>
          </cell>
        </row>
        <row r="239">
          <cell r="A239">
            <v>263</v>
          </cell>
          <cell r="B239" t="str">
            <v>Novainox S. De R.L. De C.V.</v>
          </cell>
          <cell r="C239" t="str">
            <v>Daniel Gonzalez.</v>
          </cell>
          <cell r="D239" t="str">
            <v>Carretera internacional #581, El Mabaste, C.P. 46403, Tequila, Jalisco, México.</v>
          </cell>
        </row>
        <row r="240">
          <cell r="A240">
            <v>264</v>
          </cell>
          <cell r="B240" t="str">
            <v>Calza Sider S.A. De C.V.</v>
          </cell>
          <cell r="C240" t="str">
            <v>Isaac Fortunato Melendez</v>
          </cell>
          <cell r="D240" t="str">
            <v>Calle 4 #2499, Colón Industrial, C.P. 44940, Guadalajara Jalisco.</v>
          </cell>
        </row>
        <row r="241">
          <cell r="A241">
            <v>265</v>
          </cell>
          <cell r="B241" t="str">
            <v>Agua Azul Motors S.A. de C.V.</v>
          </cell>
          <cell r="C241" t="str">
            <v>Sergio Gonzalez</v>
          </cell>
          <cell r="D241" t="str">
            <v>Calz. Jesús González Gallo No. 450, La Aurora, C.P. 44100, Guadalajara Jalisco.</v>
          </cell>
        </row>
        <row r="242">
          <cell r="A242">
            <v>266</v>
          </cell>
          <cell r="B242" t="str">
            <v xml:space="preserve"> Lizen Patria S.A. De C.V.</v>
          </cell>
          <cell r="C242" t="str">
            <v>Luis Romero.</v>
          </cell>
          <cell r="D242" t="str">
            <v>Av. Patria #2152, Santa Isabel, Zapopan Jalisco, C.P.45110.</v>
          </cell>
        </row>
        <row r="243">
          <cell r="A243">
            <v>267</v>
          </cell>
          <cell r="B243" t="str">
            <v>Metalistik S.A. De C.V.</v>
          </cell>
          <cell r="C243" t="str">
            <v>Daniel Gonzalez.</v>
          </cell>
          <cell r="D243" t="str">
            <v>Carretera Panamericana Norte km 14 int. 15</v>
          </cell>
        </row>
        <row r="244">
          <cell r="A244">
            <v>268</v>
          </cell>
          <cell r="B244" t="str">
            <v>Litografica D Ortega, S.A. De C.V.</v>
          </cell>
          <cell r="D244" t="str">
            <v>Calle 3, esquina Calle C. Paque Industrial, El Salto, Jalisco, C.P. 45685.</v>
          </cell>
        </row>
        <row r="245">
          <cell r="A245">
            <v>269</v>
          </cell>
          <cell r="B245" t="str">
            <v>Manofacturas Industriales SEJ, S.A. De C.V.</v>
          </cell>
          <cell r="C245" t="str">
            <v>Miguel Ángel Lopez.</v>
          </cell>
          <cell r="D245" t="str">
            <v>Municipio de Calvillo #103, Parque Inds. Aguascalientes.</v>
          </cell>
        </row>
        <row r="246">
          <cell r="A246">
            <v>270</v>
          </cell>
          <cell r="B246" t="str">
            <v>Hal Aluminium México S.A. De. C.V.</v>
          </cell>
          <cell r="C246" t="str">
            <v>Ricardo Roque.</v>
          </cell>
          <cell r="D246" t="str">
            <v>Av. Mineral de Valenciano # 114, Parque Industrial, Santa Fe, 2do. Int. Silao, Guanajuato.</v>
          </cell>
        </row>
        <row r="247">
          <cell r="A247">
            <v>271</v>
          </cell>
          <cell r="B247" t="str">
            <v>Novasem Innovaciones S.A. De C.V.</v>
          </cell>
          <cell r="C247" t="str">
            <v>Eva María Olmos.</v>
          </cell>
          <cell r="D247" t="str">
            <v>Carr. Barra de Navidad, Col. Miravalle # 100, Acatlán de Juarez.</v>
          </cell>
        </row>
        <row r="248">
          <cell r="A248">
            <v>272</v>
          </cell>
          <cell r="B248" t="str">
            <v>Greend mind packagind S.A. De C.V.</v>
          </cell>
          <cell r="C248" t="str">
            <v>Alejandro Frias</v>
          </cell>
          <cell r="D248" t="str">
            <v>Carretera a el Salto # 340, int. 1 Col. La alameda C.P. 45679</v>
          </cell>
        </row>
        <row r="249">
          <cell r="A249">
            <v>273</v>
          </cell>
          <cell r="B249" t="str">
            <v>Cadaco Construcciones S.A. De CV.</v>
          </cell>
          <cell r="C249" t="str">
            <v>José Hernandez.</v>
          </cell>
          <cell r="D249" t="str">
            <v>Calle Montemorelos 180, Rinconada de la Calma, 45087</v>
          </cell>
        </row>
        <row r="250">
          <cell r="A250">
            <v>274</v>
          </cell>
          <cell r="B250" t="str">
            <v>Silicatos de Occidente S.A. De C.V.</v>
          </cell>
          <cell r="C250" t="str">
            <v>José Zepeda.</v>
          </cell>
          <cell r="D250" t="str">
            <v>Rio Juarez #476, Col. Rancho Blanco.</v>
          </cell>
        </row>
        <row r="251">
          <cell r="A251">
            <v>275</v>
          </cell>
          <cell r="B251" t="str">
            <v>Euro Alemana de Tepic S.A. De C.V.</v>
          </cell>
          <cell r="D251" t="str">
            <v>Av. Insurgentes poniente #609, Col. San Juan, Tepic, Nayarit.</v>
          </cell>
        </row>
        <row r="252">
          <cell r="A252">
            <v>276</v>
          </cell>
          <cell r="B252" t="str">
            <v>Servishell S.A. De C.V.</v>
          </cell>
          <cell r="C252" t="str">
            <v>Rodrigo Brambila</v>
          </cell>
          <cell r="D252" t="str">
            <v>Calle Vicentenario Salado Alvarez #225, Col. Ladron de Guevara C.P.44600</v>
          </cell>
        </row>
        <row r="253">
          <cell r="A253">
            <v>278</v>
          </cell>
          <cell r="B253" t="str">
            <v>Natural Sweet Planta San Isidro</v>
          </cell>
          <cell r="C253" t="str">
            <v>Abel Cruz.</v>
          </cell>
          <cell r="D253" t="str">
            <v>Oriente de granja #13 C.P. 45340, Tala, Jalisco.</v>
          </cell>
        </row>
        <row r="254">
          <cell r="A254">
            <v>279</v>
          </cell>
          <cell r="B254" t="str">
            <v>Falcon</v>
          </cell>
          <cell r="C254" t="str">
            <v>Junior Antonio Picon</v>
          </cell>
          <cell r="D254" t="str">
            <v>San Juan Bosco #3833, Col. San Ignacio.</v>
          </cell>
        </row>
        <row r="255">
          <cell r="A255">
            <v>280</v>
          </cell>
          <cell r="B255" t="str">
            <v>Inova Control S.A. De C.V.</v>
          </cell>
          <cell r="C255" t="str">
            <v>Francisco Cortes</v>
          </cell>
          <cell r="D255" t="str">
            <v>Jose Enrique Rodo #3095.</v>
          </cell>
        </row>
        <row r="256">
          <cell r="A256">
            <v>281</v>
          </cell>
          <cell r="B256" t="str">
            <v>Sherex México S De RL De CV.</v>
          </cell>
          <cell r="D256" t="str">
            <v>Circ. Balvanera SA, Bodega II, corregidora, Queretaro.</v>
          </cell>
        </row>
        <row r="257">
          <cell r="A257">
            <v>282</v>
          </cell>
          <cell r="B257" t="str">
            <v>RJ Delta Constructora S.A. De C.V.</v>
          </cell>
          <cell r="C257" t="str">
            <v>Gerardo Topete</v>
          </cell>
          <cell r="D257" t="str">
            <v>Carr. Francisco I. Madero km 42, Los Corrales, C.P. 59944.</v>
          </cell>
        </row>
        <row r="258">
          <cell r="A258">
            <v>283</v>
          </cell>
          <cell r="B258" t="str">
            <v>TYASA Talleres y Aceros S.A. De C.V.</v>
          </cell>
          <cell r="C258" t="str">
            <v>Saul Mendoza</v>
          </cell>
          <cell r="D258" t="str">
            <v>Carretera Federal Mexico, Veracruz km 321 S/N. int 2, Ixtaczoquitlan Veracruz, C.P.94450.</v>
          </cell>
        </row>
        <row r="259">
          <cell r="A259">
            <v>284</v>
          </cell>
          <cell r="B259" t="str">
            <v>Donaldson S.A. de C.V.</v>
          </cell>
          <cell r="D259" t="str">
            <v>Av. Santa Fé #105, Santa Fe Tecno Park Jesus Maria, Aguascalientes. C.P. 20909</v>
          </cell>
        </row>
        <row r="260">
          <cell r="A260">
            <v>285</v>
          </cell>
          <cell r="B260" t="str">
            <v>La Capital de Selladas del Mundo S.A. De C.V.</v>
          </cell>
          <cell r="D260" t="str">
            <v>Av 8 de Julio #2686, Zona Industrial, Guadalajara, Jalisco</v>
          </cell>
        </row>
        <row r="261">
          <cell r="A261">
            <v>286</v>
          </cell>
          <cell r="B261" t="str">
            <v>Analisis termograficos de occidente</v>
          </cell>
          <cell r="C261" t="str">
            <v>Yesica Orostico</v>
          </cell>
          <cell r="D261" t="str">
            <v>Acueducto #24, Col. Villas de la granjena.</v>
          </cell>
        </row>
        <row r="262">
          <cell r="A262">
            <v>287</v>
          </cell>
          <cell r="B262" t="str">
            <v>Nestle México S.A De C.V.</v>
          </cell>
          <cell r="C262" t="str">
            <v>Sergio Flores</v>
          </cell>
          <cell r="D262" t="str">
            <v>Corredor Ind. Lerma km 62.5</v>
          </cell>
        </row>
        <row r="263">
          <cell r="A263">
            <v>288</v>
          </cell>
          <cell r="B263" t="str">
            <v>Klimet S.A. De C.V.</v>
          </cell>
          <cell r="C263" t="str">
            <v>Alejandro Contreras Flores</v>
          </cell>
          <cell r="D263" t="str">
            <v>Calzada Lazaro Cardena #1150, Guadalajara, Jalisco.</v>
          </cell>
        </row>
        <row r="264">
          <cell r="A264">
            <v>289</v>
          </cell>
          <cell r="B264" t="str">
            <v>Lizen Patria S.A. De C.V.</v>
          </cell>
          <cell r="C264" t="str">
            <v>Fernanda Quiroga</v>
          </cell>
          <cell r="D264" t="str">
            <v>Av. Patria #2112, Col. Santa Isabel, Zapopan, Jalisco.</v>
          </cell>
        </row>
        <row r="265">
          <cell r="A265">
            <v>290</v>
          </cell>
          <cell r="B265" t="str">
            <v>Centro Lechero Cooperativo de los Altos S.C.L.</v>
          </cell>
          <cell r="C265" t="str">
            <v>Fabiola Valenzuela.</v>
          </cell>
          <cell r="D265" t="str">
            <v>Extramuros #525,Capilla de Guadalupe,Jal. C.P.47700</v>
          </cell>
        </row>
        <row r="266">
          <cell r="A266">
            <v>291</v>
          </cell>
          <cell r="B266" t="str">
            <v>Hal Aliminium México S.A De C.V.</v>
          </cell>
          <cell r="C266" t="str">
            <v>Marco Antonio Valdez</v>
          </cell>
          <cell r="D266" t="str">
            <v>Av. Mineral de Valenciano Puerto Interior# 120, C.P. 362755 Silao, Guanajuato.</v>
          </cell>
        </row>
        <row r="267">
          <cell r="A267">
            <v>292</v>
          </cell>
          <cell r="B267" t="str">
            <v>Stamptek  S.A. De C.V.</v>
          </cell>
          <cell r="C267" t="str">
            <v>Gabriela Muñiz.</v>
          </cell>
          <cell r="D267" t="str">
            <v>San Rafael #89, Tepezala, Aguascalientes, Aguascalientes, C.P. 20607</v>
          </cell>
        </row>
        <row r="268">
          <cell r="A268">
            <v>293</v>
          </cell>
          <cell r="B268" t="str">
            <v>Recicla S.A. De C.V.</v>
          </cell>
          <cell r="D268" t="str">
            <v>Calle Tren Bala #119, Col. Los Arellanos, Aguascalientes, Aguascalientes C.P.20340.</v>
          </cell>
        </row>
        <row r="269">
          <cell r="A269">
            <v>294</v>
          </cell>
          <cell r="B269" t="str">
            <v>Nature Sweet.</v>
          </cell>
          <cell r="C269" t="str">
            <v>Juan Carlos Martinez</v>
          </cell>
          <cell r="D269" t="str">
            <v>Tuxcacuesco Av.  Nature Sweet EI, El platanar.</v>
          </cell>
        </row>
        <row r="270">
          <cell r="A270">
            <v>295</v>
          </cell>
          <cell r="B270" t="str">
            <v>HOTEL PRESIDENTE INTERCONTINENTAL GUADALAJARA</v>
          </cell>
          <cell r="C270" t="str">
            <v>Cristobal Gómez</v>
          </cell>
          <cell r="D270" t="str">
            <v>Av Moctezuma 3515, Cd del Sol, 45050 Zapopan, Jal.</v>
          </cell>
        </row>
        <row r="271">
          <cell r="A271">
            <v>296</v>
          </cell>
          <cell r="B271" t="str">
            <v>Soluciones Imed S.A. De C.V.</v>
          </cell>
          <cell r="C271" t="str">
            <v>Ing. Enrique Cruz</v>
          </cell>
          <cell r="D271" t="str">
            <v>Calle Ing. Tomás Medina Ugarte No.510, Col. Gremial, C.P.20030, Aguascalientes, Aguascalientes.</v>
          </cell>
        </row>
        <row r="272">
          <cell r="A272">
            <v>297</v>
          </cell>
          <cell r="B272" t="str">
            <v>Hal Aluminium México S.A De C.V.</v>
          </cell>
          <cell r="C272" t="str">
            <v>Nora</v>
          </cell>
          <cell r="D272" t="str">
            <v>Av. Mineral de Valenciano Puerto Interior# 120, C.P. 362755 Silao, Guanajuato.</v>
          </cell>
        </row>
        <row r="273">
          <cell r="A273">
            <v>298</v>
          </cell>
          <cell r="B273" t="str">
            <v>Pastas e Insumos de Occidente S.A. De. C.V.</v>
          </cell>
          <cell r="C273" t="str">
            <v>Sarahí Solís</v>
          </cell>
          <cell r="D273" t="str">
            <v>Carretera libre a Zapotlanejo km. 22.5, Zapotlanejo, Jalisco.</v>
          </cell>
        </row>
        <row r="274">
          <cell r="A274">
            <v>299</v>
          </cell>
          <cell r="B274" t="str">
            <v xml:space="preserve">Tecnoplating S.A. De C.V. </v>
          </cell>
          <cell r="C274" t="str">
            <v>Diana de Real Sandoval.</v>
          </cell>
          <cell r="D274" t="str">
            <v>Carretera a Guadalajara, El Salto #89, Col. EL Muelle.</v>
          </cell>
        </row>
        <row r="275">
          <cell r="A275">
            <v>300</v>
          </cell>
          <cell r="B275" t="str">
            <v>Hal Aliminium México S.A De C.V.</v>
          </cell>
          <cell r="C275" t="str">
            <v>Mariana Romero</v>
          </cell>
          <cell r="D275" t="str">
            <v>Circuito Mexiamora Pte. No.185 Parque Ind. Santa Fe, 36275 Silao, Gto.</v>
          </cell>
        </row>
        <row r="276">
          <cell r="A276">
            <v>301</v>
          </cell>
          <cell r="B276" t="str">
            <v>Iemi Ingenieria en Vanguardia S.A.S. De C.V.</v>
          </cell>
          <cell r="C276" t="str">
            <v>Karla Gómez</v>
          </cell>
          <cell r="D276" t="str">
            <v>Casa Blanca #301, Col. Casa Blanca, Aguascalientes, Aguascalientes. C.P,20297</v>
          </cell>
        </row>
        <row r="277">
          <cell r="A277">
            <v>302</v>
          </cell>
          <cell r="B277" t="str">
            <v>Laboratorio de control ARJ, S.A De C.V.</v>
          </cell>
          <cell r="C277" t="str">
            <v>Rafael Muñoz Rodriguez</v>
          </cell>
          <cell r="D277" t="str">
            <v>Chicle #134, Col. Granjas México, Alc. Iztacalco, Ciudad de Mexico C.P. 08400</v>
          </cell>
        </row>
        <row r="278">
          <cell r="A278">
            <v>303</v>
          </cell>
          <cell r="B278" t="str">
            <v>Locsa</v>
          </cell>
          <cell r="D278" t="str">
            <v>Amapela #36, Guadalajara, Jalisco, C.P.44460.</v>
          </cell>
        </row>
        <row r="279">
          <cell r="A279">
            <v>304</v>
          </cell>
          <cell r="B279" t="str">
            <v>Mantenimiento y Proyectos en edificios Inteligentes S.A. De C.V.</v>
          </cell>
          <cell r="C279" t="str">
            <v>Francisco Enrique Damian</v>
          </cell>
          <cell r="D279" t="str">
            <v>Valerio Trujano #4330, Emilio Zapata.</v>
          </cell>
        </row>
        <row r="280">
          <cell r="A280">
            <v>305</v>
          </cell>
          <cell r="B280" t="str">
            <v>Kegma S.A De. C.V.</v>
          </cell>
          <cell r="C280" t="str">
            <v>Nancy Gutierrez</v>
          </cell>
          <cell r="D280" t="str">
            <v>Calle Industrial #4, #41-A, La primavera, Culiacan, Sinaloa.</v>
          </cell>
        </row>
        <row r="281">
          <cell r="A281">
            <v>306</v>
          </cell>
          <cell r="B281" t="str">
            <v xml:space="preserve">Asahi Alluminium México S.A. de C.V. </v>
          </cell>
          <cell r="D281" t="str">
            <v xml:space="preserve">Av. Mineral de Valenciana  #140, Col. Puerto Int. Silao, Gto. </v>
          </cell>
        </row>
        <row r="282">
          <cell r="A282">
            <v>307</v>
          </cell>
          <cell r="B282" t="str">
            <v>Diseko Soluciones S.A. De C.V.</v>
          </cell>
          <cell r="C282" t="str">
            <v>Julio Cesar García</v>
          </cell>
          <cell r="D282" t="str">
            <v>Av. México #203, Parque Industrial San Francisco, San Francisco de los Romo. 20304, Aguascalientes, México.</v>
          </cell>
        </row>
        <row r="283">
          <cell r="A283">
            <v>308</v>
          </cell>
          <cell r="B283" t="str">
            <v>Complejo Industrial Estrada S.A De C.V.</v>
          </cell>
          <cell r="D283" t="str">
            <v>Cerrada José Ma. Chavez Num. 2552 ext. 202 C.P. 20290, Aguascalientes.</v>
          </cell>
        </row>
        <row r="284">
          <cell r="A284">
            <v>309</v>
          </cell>
          <cell r="B284" t="str">
            <v>Juan Mendoza Felix</v>
          </cell>
          <cell r="C284" t="str">
            <v>Juan Mendoza Felix</v>
          </cell>
          <cell r="D284" t="str">
            <v>Susana Ortiz Silva # 3170, Polanco Oriente C.P.44960, Guadalajara, Jal.</v>
          </cell>
        </row>
        <row r="285">
          <cell r="A285">
            <v>310</v>
          </cell>
          <cell r="B285" t="str">
            <v>Kolben Motors S.A De C.V.</v>
          </cell>
          <cell r="C285" t="str">
            <v>Juan Jaime Cruz Careaga</v>
          </cell>
          <cell r="D285" t="str">
            <v>Blvd. Adolfo López Mateos #3455,León, Guanajuato.</v>
          </cell>
        </row>
        <row r="286">
          <cell r="A286">
            <v>311</v>
          </cell>
          <cell r="B286" t="str">
            <v>Samsong México S. De R.L. De C.V.</v>
          </cell>
          <cell r="C286" t="str">
            <v>Orlando Gaytan Cardona</v>
          </cell>
          <cell r="D286" t="str">
            <v>25908, Parque Industrial amistad, Ramos Arizpe, Coahulila</v>
          </cell>
        </row>
        <row r="287">
          <cell r="A287">
            <v>312</v>
          </cell>
          <cell r="B287" t="str">
            <v>Laboratorio Pisa</v>
          </cell>
          <cell r="C287" t="str">
            <v>Karen Mendez Mendoza</v>
          </cell>
          <cell r="D287" t="str">
            <v>Calle #6, No. 2676, Zona Industrial, Guadalajara.</v>
          </cell>
        </row>
        <row r="288">
          <cell r="A288">
            <v>313</v>
          </cell>
          <cell r="B288" t="str">
            <v>Eaton Bussmann S. De R.L. De C.V.</v>
          </cell>
          <cell r="C288" t="str">
            <v>Anuar Chávez</v>
          </cell>
          <cell r="D288" t="str">
            <v>Av. La Estacada 451 , Parque Industrial Querétaro; C.P. 76220</v>
          </cell>
        </row>
        <row r="289">
          <cell r="A289">
            <v>314</v>
          </cell>
          <cell r="B289" t="str">
            <v>Audi Center Beckve S.A. de C.V.</v>
          </cell>
          <cell r="D289" t="str">
            <v>Av. Patria #2152, Col.Santa Isabel, C.P.45110, Zapopan, Jalisco</v>
          </cell>
        </row>
        <row r="290">
          <cell r="A290">
            <v>315</v>
          </cell>
          <cell r="B290" t="str">
            <v>Beckve S.A. De C.V.</v>
          </cell>
          <cell r="C290" t="str">
            <v>Fabiola Valenzuela.</v>
          </cell>
          <cell r="D290" t="str">
            <v>Av. Patria #2152, Santa Isabel, Zapopan Jalisco, C.P.45110.</v>
          </cell>
        </row>
        <row r="291">
          <cell r="A291">
            <v>316</v>
          </cell>
          <cell r="B291" t="str">
            <v>Manofacturas Industriales CEJ, S.A. De C.V.</v>
          </cell>
          <cell r="C291" t="str">
            <v>Daniel Gonzalez.</v>
          </cell>
          <cell r="D291" t="str">
            <v>Municipio de Calvillo #103, Parque Inds. Aguascalientes.</v>
          </cell>
        </row>
        <row r="292">
          <cell r="A292">
            <v>317</v>
          </cell>
          <cell r="B292" t="str">
            <v>Energias.</v>
          </cell>
          <cell r="C292" t="str">
            <v>Arturo Miranda</v>
          </cell>
          <cell r="D292" t="str">
            <v>Calle Violeta #1031, C.P. 44430, Guadalajara, Jalisco.</v>
          </cell>
        </row>
        <row r="293">
          <cell r="A293">
            <v>318</v>
          </cell>
          <cell r="B293" t="str">
            <v>BP Estaciones y Servicios energeticos S.A. De C.V.</v>
          </cell>
          <cell r="C293" t="str">
            <v>Jose Cruz Campos.</v>
          </cell>
          <cell r="D293" t="str">
            <v>Av. La Calma #3486, Col. La Calma, Zapopan, Jalisco.</v>
          </cell>
        </row>
        <row r="294">
          <cell r="A294">
            <v>319</v>
          </cell>
          <cell r="B294" t="str">
            <v>Roi Castings S.A De C.V.</v>
          </cell>
          <cell r="C294" t="str">
            <v>BP Estaciones y Servicios energeticos S.A. De C.V.</v>
          </cell>
          <cell r="D294" t="str">
            <v>Av. Julio Diaz Torre 112,Ciudad Industrial, C.P.20290,Aguascalientes.</v>
          </cell>
        </row>
        <row r="295">
          <cell r="A295">
            <v>320</v>
          </cell>
          <cell r="B295" t="str">
            <v>Sir Aguascalientes</v>
          </cell>
          <cell r="C295" t="str">
            <v>Ing. Esperanza Vela</v>
          </cell>
          <cell r="D295" t="str">
            <v>Francisco Javier Matinez #108, Col. Macario J.</v>
          </cell>
        </row>
        <row r="296">
          <cell r="A296">
            <v>321</v>
          </cell>
          <cell r="B296" t="str">
            <v>Grupo constructor especializado S.A. De C.V.</v>
          </cell>
          <cell r="C296" t="str">
            <v>Omar Alejandro Macias</v>
          </cell>
          <cell r="D296" t="str">
            <v>Longinos Cadena #1372, Col. Echeverria, C.P. 44970, Guadalajara Jalisco.</v>
          </cell>
        </row>
        <row r="297">
          <cell r="A297">
            <v>322</v>
          </cell>
          <cell r="B297" t="str">
            <v>Automotriz Celaya S.A. De C.V.</v>
          </cell>
          <cell r="C297" t="str">
            <v>Enrique Rodriguez.</v>
          </cell>
          <cell r="D297" t="str">
            <v>Blvd. Adolfo López Mateos #1515, Poniente Renacimiento, Celaya, Guanajuato, México, C.P.38040</v>
          </cell>
        </row>
        <row r="298">
          <cell r="A298">
            <v>323</v>
          </cell>
          <cell r="B298" t="str">
            <v>Manofacturas Especiales Cej S.A. De C.V.</v>
          </cell>
          <cell r="C298" t="str">
            <v>Federico Cardenas</v>
          </cell>
          <cell r="D298" t="str">
            <v>Municipio de Calvillo #103, Parque Inds. Aguascalientes.</v>
          </cell>
        </row>
        <row r="299">
          <cell r="A299">
            <v>324</v>
          </cell>
          <cell r="B299" t="str">
            <v>Indorama Ventures Ecomex S.de R.L. de C.V.</v>
          </cell>
          <cell r="C299" t="str">
            <v>Arturo Mejia</v>
          </cell>
          <cell r="D299" t="str">
            <v>Zacamixtle #108, Colonia Petrolera, Ciudad de México.</v>
          </cell>
        </row>
        <row r="300">
          <cell r="A300">
            <v>325</v>
          </cell>
          <cell r="B300" t="str">
            <v>Laboratorios Zeyco S.A. De C.V.</v>
          </cell>
          <cell r="D300" t="str">
            <v>Camino a Santa Ana Tepatitlan, Zapopan, Jalisco.</v>
          </cell>
        </row>
        <row r="301">
          <cell r="A301">
            <v>326</v>
          </cell>
          <cell r="B301" t="str">
            <v>Tequilera el triángulo S.A De C.V.</v>
          </cell>
          <cell r="C301" t="str">
            <v>Francisco Javier Avalos Rendon</v>
          </cell>
          <cell r="D301" t="str">
            <v>Calzada Madero y Carranza #418, C.P.49000 C.D. Guzman, Jalisco.</v>
          </cell>
        </row>
        <row r="302">
          <cell r="A302">
            <v>327</v>
          </cell>
          <cell r="B302" t="str">
            <v xml:space="preserve">Industrializadora de Maiz S.A. De C.V. </v>
          </cell>
          <cell r="C302" t="str">
            <v>Ing. Armando Vargas Chavez</v>
          </cell>
          <cell r="D302" t="str">
            <v>Calle 5 #956, Zona Industrial, Guadalajara Jalisco.</v>
          </cell>
        </row>
        <row r="303">
          <cell r="A303">
            <v>328</v>
          </cell>
          <cell r="B303" t="str">
            <v xml:space="preserve">Cerveceria California </v>
          </cell>
          <cell r="C303" t="str">
            <v>Gustavo Badillo Rojo</v>
          </cell>
          <cell r="D303" t="str">
            <v>Bello Horizonte 1337, Lomas del Valle, Zapopan Jalisco, C.P.45129</v>
          </cell>
        </row>
        <row r="304">
          <cell r="A304">
            <v>329</v>
          </cell>
          <cell r="B304" t="str">
            <v>Logicbus S.A. De C.V.</v>
          </cell>
          <cell r="C304" t="str">
            <v>Jesus Michel</v>
          </cell>
          <cell r="D304" t="str">
            <v>Av. Fray Antonio Alcade #1822, Miraflores, Guadalajara Jalisco. C.P.44270.</v>
          </cell>
        </row>
        <row r="305">
          <cell r="A305">
            <v>330</v>
          </cell>
          <cell r="B305" t="str">
            <v>Centro Integral de Soldadura A.C.</v>
          </cell>
          <cell r="C305" t="str">
            <v>Karina Keratina.</v>
          </cell>
          <cell r="D305" t="str">
            <v>Calle Isla Española #2627, Jardines de la Cruz, C.P.44950, Guadalajara, Jalisco.</v>
          </cell>
        </row>
        <row r="306">
          <cell r="A306">
            <v>331</v>
          </cell>
          <cell r="B306" t="str">
            <v>Plásticos Industriales de Jalisco, S.A. de C.V.</v>
          </cell>
          <cell r="C306" t="str">
            <v>Gustavo González Calderón</v>
          </cell>
          <cell r="D306" t="str">
            <v>Calle Gallo no. 1340, Col. La Aurora,C.P. 44460 Guadalajara, Jalisco</v>
          </cell>
        </row>
        <row r="307">
          <cell r="A307">
            <v>332</v>
          </cell>
          <cell r="B307" t="str">
            <v>Tequilera hacienda las capillas S.A. De C.V.</v>
          </cell>
          <cell r="C307" t="str">
            <v>Ing. Carlos Dominguez</v>
          </cell>
          <cell r="D307" t="str">
            <v>Hacienda 1 la paleta, Capilla de Guadalupe, C.P. 47700, Tepatitlan Morelos, Jalisco.</v>
          </cell>
        </row>
        <row r="308">
          <cell r="A308">
            <v>333</v>
          </cell>
          <cell r="B308" t="str">
            <v>México Murata Spring Corporation S.A. De C.V.</v>
          </cell>
          <cell r="C308" t="str">
            <v>N/D</v>
          </cell>
          <cell r="D308" t="str">
            <v>Prolongación Constitución #802, El Puestecito de la Virgen C.P. 2035, San Francisco de los Romos, Aguascalientes.</v>
          </cell>
        </row>
        <row r="309">
          <cell r="A309">
            <v>334</v>
          </cell>
          <cell r="B309" t="str">
            <v>Suma Creación S.A. De C.V.</v>
          </cell>
          <cell r="C309" t="str">
            <v>Fernanda Castro</v>
          </cell>
          <cell r="D309" t="str">
            <v>Prol. Pino Suárez #1874, Rinconada de la Azalea, C.P. 45140, Zapopan, Jalisco</v>
          </cell>
        </row>
        <row r="310">
          <cell r="A310">
            <v>335</v>
          </cell>
          <cell r="B310" t="str">
            <v>Hal Aluminium México S.A. De. C.V.</v>
          </cell>
          <cell r="C310" t="str">
            <v>Guadalupe Miranda</v>
          </cell>
          <cell r="D310" t="str">
            <v>Circuito Mexiamora Pte. No.185 Parque Ind. Santa Fe, 36275 Silao, Gto.</v>
          </cell>
        </row>
        <row r="311">
          <cell r="A311">
            <v>336</v>
          </cell>
          <cell r="B311" t="str">
            <v>Lacteos Ticoy S.A. De C.V.</v>
          </cell>
          <cell r="C311" t="str">
            <v>Mauricio Segura</v>
          </cell>
          <cell r="D311" t="str">
            <v>Prolongación Independecia #649, Jesus Maria , Aguscalientes.</v>
          </cell>
        </row>
        <row r="312">
          <cell r="A312">
            <v>337</v>
          </cell>
          <cell r="B312" t="str">
            <v>Autonova S.A. De C.V.</v>
          </cell>
          <cell r="C312" t="str">
            <v>Leonel Casillas</v>
          </cell>
          <cell r="D312" t="str">
            <v>Av. 16 de Septiembre #1066, Col. Moderna Sector Juarez. C.P. 44190 Guadalajara Jalisco.</v>
          </cell>
        </row>
        <row r="313">
          <cell r="A313">
            <v>338</v>
          </cell>
          <cell r="B313" t="str">
            <v>ADECOM</v>
          </cell>
          <cell r="D313" t="str">
            <v>Claudia Bernard #34, Col Doctores.</v>
          </cell>
        </row>
        <row r="314">
          <cell r="A314">
            <v>339</v>
          </cell>
          <cell r="B314" t="str">
            <v>Calibraciones e Instrumentos</v>
          </cell>
          <cell r="C314" t="str">
            <v>Joel Garza</v>
          </cell>
          <cell r="D314" t="str">
            <v>Calle Brillante # 1576, Col. Mariano Otero, C.P. 45067, Zapopan Jal.</v>
          </cell>
        </row>
        <row r="315">
          <cell r="A315">
            <v>340</v>
          </cell>
          <cell r="B315" t="str">
            <v>Kop Ingenieria S.A. de C.V.</v>
          </cell>
          <cell r="C315" t="str">
            <v>Maggie Ascencio</v>
          </cell>
          <cell r="D315" t="str">
            <v>Calle Kappa # 412, Col. Industrial Delia C.P. 37545, Leon GTO.</v>
          </cell>
        </row>
        <row r="316">
          <cell r="A316">
            <v>341</v>
          </cell>
          <cell r="B316" t="str">
            <v>Inyeccion Plastica y Soluciones en Metal-Mecanica</v>
          </cell>
          <cell r="C316" t="str">
            <v>Ysum Alvarado</v>
          </cell>
          <cell r="D316" t="str">
            <v>20 de Noviembre No. 1604, Col. Morelos, C.P. 20140 Aguascalientes Ags.</v>
          </cell>
        </row>
        <row r="317">
          <cell r="A317">
            <v>342</v>
          </cell>
          <cell r="B317" t="str">
            <v>Hitachi Astemo de de Mexico S.A. de C.V.</v>
          </cell>
          <cell r="D317" t="str">
            <v>Av. Manufacturas # 501, Parque Ind. C.P. 76220, Santa Rosa Jauregui de Qro.</v>
          </cell>
        </row>
        <row r="318">
          <cell r="A318">
            <v>343</v>
          </cell>
          <cell r="B318" t="str">
            <v>Solma Jose Luis Gonzalez</v>
          </cell>
          <cell r="C318" t="str">
            <v>Emanuel Hernandez</v>
          </cell>
          <cell r="D318" t="str">
            <v>Av. Convencion Ote. # 828A, Fracc. Santa Anita CP 20169, Aguascalientes  Ags.</v>
          </cell>
        </row>
        <row r="319">
          <cell r="A319">
            <v>344</v>
          </cell>
          <cell r="B319" t="str">
            <v>Monsa Molinos S.A. de C.V.</v>
          </cell>
          <cell r="D319" t="str">
            <v>C. Quetzal 1124, Morelos 44910 Guadalajara Jalisco.</v>
          </cell>
        </row>
        <row r="320">
          <cell r="A320">
            <v>345</v>
          </cell>
          <cell r="B320" t="str">
            <v>Mexalit Industrial S.A. de C.V.</v>
          </cell>
          <cell r="C320" t="str">
            <v>Ing. Romaldo Cuevas</v>
          </cell>
          <cell r="D320" t="str">
            <v xml:space="preserve">Ejido el Progreso, Segundo Anillo Periferico C.P. 88123, NVO. Laredo Tamaulias </v>
          </cell>
        </row>
        <row r="321">
          <cell r="A321">
            <v>346</v>
          </cell>
          <cell r="B321" t="str">
            <v>Coconal S.A.P.I. de C.V.</v>
          </cell>
          <cell r="C321" t="str">
            <v>Ing. Victor Martinez</v>
          </cell>
          <cell r="D321" t="str">
            <v>San Agustin Amatengo, Oaxaca.</v>
          </cell>
        </row>
        <row r="322">
          <cell r="A322">
            <v>347</v>
          </cell>
          <cell r="B322" t="str">
            <v>Sics comedores S.A. de C.V.</v>
          </cell>
          <cell r="C322" t="str">
            <v>Javier Seghura</v>
          </cell>
          <cell r="D322" t="str">
            <v xml:space="preserve">AV. Aviacion # 1002, Col. San Juan de Ocotan, Zapopan Jal. </v>
          </cell>
        </row>
        <row r="323">
          <cell r="A323">
            <v>348</v>
          </cell>
          <cell r="B323" t="str">
            <v>Claudia Mariel Padilla Aviles</v>
          </cell>
          <cell r="C323" t="str">
            <v>Mayte Gallegos</v>
          </cell>
          <cell r="D323" t="str">
            <v>Paseos de los cedros # 104, Frac. Cneero, Tlaquepaque Jal.</v>
          </cell>
        </row>
        <row r="324">
          <cell r="A324">
            <v>349</v>
          </cell>
          <cell r="B324" t="str">
            <v>Hospital San Javier</v>
          </cell>
          <cell r="C324" t="str">
            <v>Victor Perez</v>
          </cell>
          <cell r="D324" t="str">
            <v>Pablo Casals 640, Prados Providencia, C.P. 44670, Guadalajara, Jal.</v>
          </cell>
        </row>
        <row r="325">
          <cell r="A325">
            <v>350</v>
          </cell>
          <cell r="B325" t="str">
            <v>Agro Fresam S.A. de C.V.</v>
          </cell>
          <cell r="C325" t="str">
            <v>Javier Mendoza</v>
          </cell>
          <cell r="D325" t="str">
            <v>Bachilleres # 39, Col. Ejidal Jacona Michoacan.</v>
          </cell>
        </row>
        <row r="326">
          <cell r="A326">
            <v>351</v>
          </cell>
          <cell r="B326" t="str">
            <v>Medam S. de R.L. DE C.V.</v>
          </cell>
          <cell r="C326" t="str">
            <v>Julio Cesar Gonzalez</v>
          </cell>
          <cell r="D326" t="str">
            <v>Carretera El Verde #9038, Col. San José del Castillo, C.P.45685</v>
          </cell>
        </row>
        <row r="327">
          <cell r="A327">
            <v>352</v>
          </cell>
          <cell r="B327" t="str">
            <v>Servicios Tecnicos MSCC S de RL de CV</v>
          </cell>
          <cell r="C327" t="str">
            <v>Jorge Rosas</v>
          </cell>
          <cell r="D327" t="str">
            <v>Pedro Maria Anaya No. 2530, Int. D, El Porvenir Ote. C.P. 44755, Guadalajara Jal.</v>
          </cell>
        </row>
        <row r="328">
          <cell r="A328">
            <v>353</v>
          </cell>
          <cell r="B328" t="str">
            <v>Sysmedbi Servicios y Suministros Medicos - Biomedicos S.A de C.V.</v>
          </cell>
          <cell r="C328" t="str">
            <v>Cintia Hernández</v>
          </cell>
          <cell r="D328" t="str">
            <v>Merie curie #13, Col. Anzures del Miguel Hidalgo, CDMX  Mexico C.P. 11590</v>
          </cell>
        </row>
        <row r="329">
          <cell r="A329">
            <v>354</v>
          </cell>
          <cell r="B329" t="str">
            <v>Flextronics Technologies Mexico S. DE R.L. DE C.V.</v>
          </cell>
          <cell r="D329" t="str">
            <v>Prol. Lopez Mateos sur # 2915Col. La tijera C.p.45650 Tlajomulco de zuñiga Jalisco</v>
          </cell>
        </row>
        <row r="330">
          <cell r="A330">
            <v>355</v>
          </cell>
          <cell r="B330" t="str">
            <v>MACOMEX INDUSTRIAL S.A. DE C.V.</v>
          </cell>
          <cell r="C330" t="str">
            <v xml:space="preserve">FORD </v>
          </cell>
          <cell r="D330" t="str">
            <v xml:space="preserve">Av. Miguel Hidalgo S/N., Col, Centro Cosio, Aguascalientes, Cp. 20460 </v>
          </cell>
        </row>
        <row r="331">
          <cell r="A331">
            <v>356</v>
          </cell>
          <cell r="B331" t="str">
            <v>OMYA DE MEXICO S.A. DE C.V.</v>
          </cell>
          <cell r="C331" t="str">
            <v>Isela Muñoz</v>
          </cell>
          <cell r="D331" t="str">
            <v>Calle Carr. El Salto 243, 45679 La Alameda, Jal.</v>
          </cell>
        </row>
        <row r="332">
          <cell r="A332">
            <v>357</v>
          </cell>
          <cell r="B332" t="str">
            <v>Metalistik S.A. De C.V.</v>
          </cell>
          <cell r="C332" t="str">
            <v>Raul Gonzales/Francisco Jimenez</v>
          </cell>
          <cell r="D332" t="str">
            <v>Av. México 206, C.P. 20304, Av. Japón Parque Industrial San Francisco Macario J Gómez, Ags., CP20355</v>
          </cell>
        </row>
        <row r="333">
          <cell r="A333">
            <v>358</v>
          </cell>
          <cell r="B333" t="str">
            <v>EXC Packing S.A De C.V.</v>
          </cell>
          <cell r="C333" t="str">
            <v>Juan Carlos Legaspi</v>
          </cell>
          <cell r="D333" t="str">
            <v>Av. Juan Gil Preciado #2450, Los Robles.</v>
          </cell>
        </row>
        <row r="334">
          <cell r="A334">
            <v>359</v>
          </cell>
          <cell r="B334" t="str">
            <v>NB Foods S. De R.L. De C.V.</v>
          </cell>
          <cell r="C334" t="str">
            <v>Ricardo Beltran</v>
          </cell>
          <cell r="D334" t="str">
            <v>Av. Jalisco, Ext. #1924, Int. #23, Col. Tesistan,C.P.45200, Zapopán, Jalisco.</v>
          </cell>
        </row>
        <row r="335">
          <cell r="A335">
            <v>360</v>
          </cell>
          <cell r="B335" t="str">
            <v>Alesso S.A. De C.V.</v>
          </cell>
          <cell r="C335" t="str">
            <v>Ana Arenas</v>
          </cell>
          <cell r="D335" t="str">
            <v>Periferico Norte #10176.</v>
          </cell>
        </row>
        <row r="336">
          <cell r="A336">
            <v>361</v>
          </cell>
          <cell r="B336" t="str">
            <v>Nature Sweet Planta Zapotlan</v>
          </cell>
          <cell r="C336" t="str">
            <v>Vianey Martinez</v>
          </cell>
          <cell r="D336" t="str">
            <v>Carretera Cd. Guzmán, el fresnito km 10.</v>
          </cell>
        </row>
        <row r="337">
          <cell r="A337">
            <v>362</v>
          </cell>
          <cell r="B337" t="str">
            <v>Metrotecnia Industrial Guadalajara</v>
          </cell>
          <cell r="C337" t="str">
            <v>Daniel Alvarez</v>
          </cell>
          <cell r="D337" t="str">
            <v>Av. La Paz #1163-A, Guadalajara, Jalisco.</v>
          </cell>
        </row>
        <row r="338">
          <cell r="A338">
            <v>363</v>
          </cell>
          <cell r="B338" t="str">
            <v>Kandyco S.A. De C.V.</v>
          </cell>
          <cell r="C338" t="str">
            <v>Daniela Brion</v>
          </cell>
          <cell r="D338" t="str">
            <v>Comercio Exterior #1103, C.P.44440, Guadalajara, Jalisco.</v>
          </cell>
        </row>
        <row r="339">
          <cell r="A339">
            <v>364</v>
          </cell>
          <cell r="B339" t="str">
            <v>Semillas y Cereales San Juanico S.A. De C.V.</v>
          </cell>
          <cell r="C339" t="str">
            <v>Jesus Moreno</v>
          </cell>
          <cell r="D339" t="str">
            <v>Av. Del mercado #1113, Col. Mercado de abastos, Guadalajara, Jalisco.</v>
          </cell>
        </row>
        <row r="340">
          <cell r="A340">
            <v>365</v>
          </cell>
          <cell r="B340" t="str">
            <v>ADM Packaging Services S. de R.L. de C.V.</v>
          </cell>
          <cell r="C340" t="str">
            <v>Paulina Cueto</v>
          </cell>
          <cell r="D340" t="str">
            <v>Puerto Ensenada #1075, Col. Miramar, C.P. 45060, Zapopan, Jalisco.</v>
          </cell>
        </row>
        <row r="341">
          <cell r="A341">
            <v>366</v>
          </cell>
          <cell r="B341" t="str">
            <v>Milventos de Mèxico S.A.DE.C.V.</v>
          </cell>
          <cell r="C341" t="str">
            <v>Diana Bravo.</v>
          </cell>
          <cell r="D341" t="str">
            <v>Bldv. Miguel Hidalgo, Valle Alto, Reynosa, Tamaulipas.</v>
          </cell>
        </row>
        <row r="342">
          <cell r="A342">
            <v>367</v>
          </cell>
          <cell r="B342" t="str">
            <v>Tecnoglobal PH7 S.A. De C.V.</v>
          </cell>
          <cell r="C342" t="str">
            <v>Juan Manuel Avila</v>
          </cell>
          <cell r="D342" t="str">
            <v>Av. Del Tigre #2140, Zapopan, Jalisco.</v>
          </cell>
        </row>
        <row r="343">
          <cell r="A343">
            <v>368</v>
          </cell>
          <cell r="B343" t="str">
            <v>Chupaleta S.A. De C.V.</v>
          </cell>
          <cell r="C343" t="str">
            <v>Miriam Cruz</v>
          </cell>
          <cell r="D343" t="str">
            <v>Carretera camino a la Calerilla  #1550-C, Tlaquepaque, Jalisco, C.P.45602.</v>
          </cell>
        </row>
        <row r="344">
          <cell r="A344">
            <v>369</v>
          </cell>
          <cell r="B344" t="str">
            <v>Schott de México S.A De C.V.</v>
          </cell>
          <cell r="D344" t="str">
            <v>Carretera México Veracruz km 349.</v>
          </cell>
        </row>
        <row r="345">
          <cell r="A345">
            <v>370</v>
          </cell>
          <cell r="B345" t="str">
            <v>Dibar Laboratorios</v>
          </cell>
          <cell r="C345" t="str">
            <v>Carlos Florian</v>
          </cell>
          <cell r="D345" t="str">
            <v>Av.Tres Marias #405, Tres Marias, CP 58254  Morelia, Michoacan.</v>
          </cell>
        </row>
        <row r="346">
          <cell r="A346">
            <v>371</v>
          </cell>
          <cell r="B346" t="str">
            <v>Zener Energia Renovable S.A. De C.V.</v>
          </cell>
          <cell r="C346" t="str">
            <v xml:space="preserve">Alondra Rangel Alvarado </v>
          </cell>
          <cell r="D346" t="str">
            <v>Anda Lucia #2438, Col. Guadalupana.</v>
          </cell>
        </row>
        <row r="347">
          <cell r="A347">
            <v>372</v>
          </cell>
          <cell r="B347" t="str">
            <v>Maquiladora y Empaques Servisum S. A.  De C. V.</v>
          </cell>
          <cell r="C347" t="str">
            <v>Enrique Elizondo</v>
          </cell>
          <cell r="D347" t="str">
            <v>Municipio de Jesus María #112, Parque Industrial del Valle de Aguascalientes, C.P. 20329 San Fco. de los Romo, Ags.</v>
          </cell>
        </row>
        <row r="348">
          <cell r="A348">
            <v>373</v>
          </cell>
          <cell r="B348" t="str">
            <v>Teklas Automotive México S.A. De C.V.</v>
          </cell>
          <cell r="D348" t="str">
            <v>Mezquite #106, Parque Industrial, San Francisco de los Romo.</v>
          </cell>
        </row>
        <row r="349">
          <cell r="A349">
            <v>374</v>
          </cell>
          <cell r="B349" t="str">
            <v>Sem Weber Planta 2</v>
          </cell>
          <cell r="C349" t="str">
            <v>Ing. Juan Antonio Parga Orozco</v>
          </cell>
          <cell r="D349" t="str">
            <v>Av. Isikawua #1001.</v>
          </cell>
        </row>
        <row r="350">
          <cell r="A350">
            <v>375</v>
          </cell>
          <cell r="B350" t="str">
            <v>Impresores Unidos del Centro S.A. de C.V.</v>
          </cell>
          <cell r="C350" t="str">
            <v>Jesus Duarte</v>
          </cell>
          <cell r="D350" t="str">
            <v>Jesús María Romo 117-A, Ciudad Industrial, C.P. 20290, Aguascalientes, Ags. México.</v>
          </cell>
        </row>
        <row r="351">
          <cell r="A351">
            <v>376</v>
          </cell>
          <cell r="B351" t="str">
            <v>Fabricas Selectas S.A. DE C.V.</v>
          </cell>
          <cell r="C351" t="str">
            <v>Melissa</v>
          </cell>
          <cell r="D351" t="str">
            <v>BLVD. Bosque de San Isidro #1116, Col. Valle, C.P. 44130, Guadalajara Jalisco.</v>
          </cell>
        </row>
        <row r="352">
          <cell r="A352">
            <v>377</v>
          </cell>
          <cell r="B352" t="str">
            <v>Roppen R&amp;T S. de RL de CV</v>
          </cell>
          <cell r="C352" t="str">
            <v>Flor Ivon Garcia.</v>
          </cell>
          <cell r="D352" t="str">
            <v>Calle 5 de mayo #65, Colonia San Pedro Mártir, Tlalpan, CDMX</v>
          </cell>
        </row>
        <row r="353">
          <cell r="A353">
            <v>378</v>
          </cell>
          <cell r="B353" t="str">
            <v>Champiñones los Altos MB S.A. De C.V.</v>
          </cell>
          <cell r="C353" t="str">
            <v>Dra. en C. Ma. Isabel Ruiz Olmedo</v>
          </cell>
          <cell r="D353" t="str">
            <v>Bosque ciruelos #304, Piso 9, Col. Bosque de las Lomas, DF.</v>
          </cell>
        </row>
        <row r="354">
          <cell r="A354">
            <v>379</v>
          </cell>
          <cell r="B354" t="str">
            <v>Eaton Industries S de RL de CV</v>
          </cell>
          <cell r="C354" t="str">
            <v>Tania Barcenas Piña</v>
          </cell>
          <cell r="D354" t="str">
            <v>Circuito Profr. Enrique Olivares Santana Parque Industrial Aguascalientes, Aguascalientes</v>
          </cell>
        </row>
        <row r="355">
          <cell r="A355">
            <v>380</v>
          </cell>
          <cell r="B355" t="str">
            <v>Provedora de seguridad industrial del golfo S.A. De C.V.</v>
          </cell>
          <cell r="C355" t="str">
            <v>Luis Villa</v>
          </cell>
          <cell r="D355" t="str">
            <v>Cerrada la estacada # 451, Parque Industrial, Queretaro, Queretaro, C.P. 76220</v>
          </cell>
        </row>
        <row r="356">
          <cell r="A356">
            <v>381</v>
          </cell>
          <cell r="B356" t="str">
            <v>Grupo Polesa.</v>
          </cell>
          <cell r="C356" t="str">
            <v>Carlos Favila</v>
          </cell>
          <cell r="D356" t="str">
            <v>Carretera Antigua a la Capilla # 1980, El Salto Jalisco.</v>
          </cell>
        </row>
        <row r="357">
          <cell r="A357">
            <v>382</v>
          </cell>
          <cell r="B357" t="str">
            <v>Sam Motors Torreón S.A. De C.V.</v>
          </cell>
          <cell r="C357" t="str">
            <v>Emmanuel Gamiño.</v>
          </cell>
          <cell r="D357" t="str">
            <v>Blv. Independencia #502, Torreón, Coahulia.</v>
          </cell>
        </row>
        <row r="358">
          <cell r="A358">
            <v>383</v>
          </cell>
          <cell r="B358" t="str">
            <v>Omni Intel Pack.</v>
          </cell>
          <cell r="C358" t="str">
            <v xml:space="preserve">Sandra Burciaga </v>
          </cell>
          <cell r="D358" t="str">
            <v>Morelos 51, Col. Cuajimalpa, C.P. 05000, Cuajimalpa, CDMX</v>
          </cell>
        </row>
        <row r="359">
          <cell r="A359">
            <v>384</v>
          </cell>
          <cell r="B359" t="str">
            <v>4M Comercializadora S.A. De C.V.</v>
          </cell>
          <cell r="D359" t="str">
            <v>Calle Aquiles Elourduy #1104, Fracc. San Marcos, Aguascalientes, Aguascalientes.</v>
          </cell>
        </row>
        <row r="360">
          <cell r="A360">
            <v>385</v>
          </cell>
          <cell r="B360" t="str">
            <v>Grupo Gasolinero Alci S.A. De C.V.</v>
          </cell>
          <cell r="D360" t="str">
            <v>Carretera Federal #80</v>
          </cell>
        </row>
        <row r="361">
          <cell r="A361">
            <v>386</v>
          </cell>
          <cell r="B361" t="str">
            <v>Hormigón y morteros S.A. De C.V.</v>
          </cell>
          <cell r="C361" t="str">
            <v>Eduardo Casillas Navarro</v>
          </cell>
          <cell r="D361" t="str">
            <v>SM27 M18, Lote 1-06, km+326, Puerto Morelos, Q.R.</v>
          </cell>
        </row>
        <row r="362">
          <cell r="A362">
            <v>387</v>
          </cell>
          <cell r="B362" t="str">
            <v>Platmaq S.A. De C.V.</v>
          </cell>
          <cell r="C362" t="str">
            <v>Alberto Carrillo</v>
          </cell>
          <cell r="D362" t="str">
            <v>Pila Seca 1 Jardines de la calera, Tlajomulco de Zuñiga, Jalisco. México. C.P. 45676</v>
          </cell>
        </row>
        <row r="363">
          <cell r="A363">
            <v>388</v>
          </cell>
          <cell r="B363" t="str">
            <v>Cerveza Loba</v>
          </cell>
          <cell r="C363" t="str">
            <v>Hector Gorozpe</v>
          </cell>
          <cell r="D363" t="str">
            <v>Gregorio Davila #79, Independencia.</v>
          </cell>
        </row>
        <row r="364">
          <cell r="A364">
            <v>389</v>
          </cell>
          <cell r="B364" t="str">
            <v>The Lidea Company</v>
          </cell>
          <cell r="C364" t="str">
            <v>Alejandro Magallanes</v>
          </cell>
          <cell r="D364" t="str">
            <v>Periferico Sur #7750, Santa María Tequepexpan, Tlaquepaque, Jalisco.</v>
          </cell>
        </row>
        <row r="365">
          <cell r="A365">
            <v>390</v>
          </cell>
          <cell r="B365" t="str">
            <v>Corporación especializada en mantenimiento y servicios industriales S.A.de.C.V.</v>
          </cell>
          <cell r="C365" t="str">
            <v>Karla Pelayo</v>
          </cell>
          <cell r="D365" t="str">
            <v>Jose Carrillo 3375 Lomas de Polanco, Guadalajara, Jalisco. México. C.P. 44960.</v>
          </cell>
        </row>
        <row r="366">
          <cell r="A366">
            <v>391</v>
          </cell>
          <cell r="B366" t="str">
            <v>Compañía destiladora de Xamay S.A. De C.V.</v>
          </cell>
          <cell r="C366" t="str">
            <v>Héctor Fuentes.</v>
          </cell>
          <cell r="D366" t="str">
            <v>Carretera Jamay La Barca km. 3.2, C.P. 47900, Centro, Jamay Jalisco</v>
          </cell>
        </row>
        <row r="367">
          <cell r="A367">
            <v>392</v>
          </cell>
          <cell r="B367" t="str">
            <v>Basculas y Servicio Técnico Bela</v>
          </cell>
          <cell r="D367" t="str">
            <v>Jardineros #730, Col. Artesanos Tlaquepaque, C.P, 45598</v>
          </cell>
        </row>
        <row r="368">
          <cell r="A368">
            <v>393</v>
          </cell>
          <cell r="B368" t="str">
            <v>Diagnosticos Grupo Mexlab S.A. De C.V.</v>
          </cell>
          <cell r="C368" t="str">
            <v>Biól. Carlos Eduardo Meneses Medina</v>
          </cell>
          <cell r="D368" t="str">
            <v>Jaime Rivera No. 1690 Col. Paseos del Sol, C.P.45079 Zapopan, Jalisco, México.</v>
          </cell>
        </row>
        <row r="369">
          <cell r="A369">
            <v>394</v>
          </cell>
          <cell r="B369" t="str">
            <v>Proempaque S.A de C.V.</v>
          </cell>
          <cell r="C369" t="str">
            <v>Q.F.B. Roman Ansures</v>
          </cell>
          <cell r="D369" t="str">
            <v>Carretera San Lui Potosi #714, Fraccionamiento Bajio de las Palmas, C.P. 20263, Aguascalientes, México.</v>
          </cell>
        </row>
        <row r="370">
          <cell r="A370">
            <v>395</v>
          </cell>
          <cell r="B370" t="str">
            <v>Atsumitec de México S.A. De C.V.</v>
          </cell>
          <cell r="D370" t="str">
            <v>Municipio de Tepezala No,102, Parque Industrial del Valle de Aguascalientes, Jesus María, Aguascalientes.</v>
          </cell>
        </row>
        <row r="371">
          <cell r="A371">
            <v>396</v>
          </cell>
          <cell r="B371" t="str">
            <v>Honda de México S.A. de C.V.</v>
          </cell>
          <cell r="C371" t="str">
            <v>Mauricio Gónzalez</v>
          </cell>
          <cell r="D371" t="str">
            <v>Carretera libramento Sur km6, C.P. 38140, La Luz, Celaya Guanajuato, México.</v>
          </cell>
        </row>
        <row r="372">
          <cell r="A372">
            <v>397</v>
          </cell>
          <cell r="B372" t="str">
            <v>Distribución y control de energía PQS S.A De C.V.</v>
          </cell>
          <cell r="C372" t="str">
            <v>Monica Ballesteros.</v>
          </cell>
          <cell r="D372" t="str">
            <v>Av. 3-A No.123, Int. 1, Santa Rosa, Gustavo A Madero, CDMX.</v>
          </cell>
        </row>
        <row r="373">
          <cell r="A373">
            <v>398</v>
          </cell>
          <cell r="B373" t="str">
            <v>EXC Packaging  S.A De C.V.</v>
          </cell>
          <cell r="D373" t="str">
            <v>Av. Juan Gil Preciado #2450, Los Robles, Zapopán, Jalisco.</v>
          </cell>
        </row>
        <row r="374">
          <cell r="A374">
            <v>399</v>
          </cell>
          <cell r="B374" t="str">
            <v>GDL Toallitas</v>
          </cell>
          <cell r="C374" t="str">
            <v>Luis Felipe Amaya.</v>
          </cell>
          <cell r="D374" t="str">
            <v>Av. Juan Miguel #37, San Juan de Ocotán.</v>
          </cell>
        </row>
        <row r="375">
          <cell r="A375">
            <v>400</v>
          </cell>
          <cell r="B375" t="str">
            <v>CMC Metrology S.A. De C.V.</v>
          </cell>
          <cell r="C375" t="str">
            <v>Cesar Lomeli.</v>
          </cell>
          <cell r="D375" t="str">
            <v>Paseo Hidalgo del Parral #137-39B</v>
          </cell>
        </row>
        <row r="376">
          <cell r="A376">
            <v>401</v>
          </cell>
          <cell r="B376" t="str">
            <v>Soluciones Industriales STAHL SA de CV</v>
          </cell>
          <cell r="C376" t="str">
            <v>Maurcio Sanchez</v>
          </cell>
          <cell r="D376" t="str">
            <v>Blvd. Vito Alessio Robles 3045 Int 16 y 17 Col. Nazario S. Ortiz Garza CP 25100</v>
          </cell>
        </row>
        <row r="377">
          <cell r="A377">
            <v>402</v>
          </cell>
          <cell r="B377" t="str">
            <v>World Cooriel</v>
          </cell>
          <cell r="C377" t="str">
            <v>Ing. Aldo Rodriguez Cepeda</v>
          </cell>
          <cell r="D377" t="str">
            <v>Tabachines 1002, El Salto, Jalisco.</v>
          </cell>
        </row>
        <row r="378">
          <cell r="A378">
            <v>403</v>
          </cell>
          <cell r="B378" t="str">
            <v>Pro empaque S.A. de C.V.</v>
          </cell>
          <cell r="C378" t="str">
            <v>Alejandro Vazquez</v>
          </cell>
          <cell r="D378" t="str">
            <v>Carr. San Luis Potosi #714, Fracc. Bajio de las palmas, C.P. 20263.</v>
          </cell>
        </row>
        <row r="379">
          <cell r="A379">
            <v>404</v>
          </cell>
          <cell r="B379" t="str">
            <v>Centro Galvanizador 2000 S.A. de C.V.</v>
          </cell>
          <cell r="C379" t="str">
            <v>Rogelio Rodriguez Martinez</v>
          </cell>
          <cell r="D379" t="str">
            <v>Av. Apaseo Oriente. 470, Cd Industrial, C.P.36541 Guanajuato.</v>
          </cell>
        </row>
        <row r="380">
          <cell r="A380">
            <v>405</v>
          </cell>
          <cell r="B380" t="str">
            <v>SHOSHIBA MEXICANA SA DE CV.</v>
          </cell>
          <cell r="C380" t="str">
            <v>Jorge Alvarez</v>
          </cell>
          <cell r="D380" t="str">
            <v>Carretera 45 Norte Km 14.3 325 a Jesús Gómez Portugal (Margaritas) Jesús María, Aguascalientes.</v>
          </cell>
        </row>
        <row r="381">
          <cell r="A381">
            <v>406</v>
          </cell>
          <cell r="B381" t="str">
            <v xml:space="preserve">PMPS QUÍMICOS S DE R.L DE C.V. </v>
          </cell>
          <cell r="C381" t="str">
            <v>Jaime Gutiérrez</v>
          </cell>
          <cell r="D381" t="str">
            <v>Av. Nopaltepec #24, Col. Bellavista,Cuautitlán Izcalli, Estado de México.</v>
          </cell>
        </row>
        <row r="382">
          <cell r="A382">
            <v>407</v>
          </cell>
          <cell r="B382" t="str">
            <v>Marba Foods S.A. de C.V.</v>
          </cell>
          <cell r="C382" t="str">
            <v>Guadalupe Luna.</v>
          </cell>
          <cell r="D382" t="str">
            <v>Av. Canal Sub lateral 3+100 C.P. 80301, Fracc. Estancia Cantabria, Cln, Sinaloa</v>
          </cell>
        </row>
        <row r="383">
          <cell r="A383">
            <v>408</v>
          </cell>
          <cell r="B383" t="str">
            <v>Cadaco Construcciones S.A. De CV.</v>
          </cell>
          <cell r="C383" t="str">
            <v>Osvaldo Monzon Ojeda.</v>
          </cell>
          <cell r="D383" t="str">
            <v>Calle Montemorelos 180, Rinconada de la Calma, 45087</v>
          </cell>
        </row>
        <row r="384">
          <cell r="A384">
            <v>409</v>
          </cell>
          <cell r="B384" t="str">
            <v>Euro Alemana Americas.</v>
          </cell>
          <cell r="C384" t="str">
            <v>Cesar Alberto Delgado</v>
          </cell>
          <cell r="D384" t="str">
            <v>Av. Americas #505, Ladrón de Guevara, C.P.45600, Guadalajara, Jalisco.</v>
          </cell>
        </row>
        <row r="385">
          <cell r="A385">
            <v>410</v>
          </cell>
          <cell r="B385" t="str">
            <v>Fabrica Nacional de Herramientas S.A.de C.V.</v>
          </cell>
          <cell r="C385" t="str">
            <v>Eugenio Vargas.</v>
          </cell>
          <cell r="D385" t="str">
            <v>Arturo Romo de Vivar 1 Parque Industrial Chichime.</v>
          </cell>
        </row>
        <row r="386">
          <cell r="A386">
            <v>410</v>
          </cell>
          <cell r="B386" t="str">
            <v>Esterilizadora de Occidente, S.A de C.V</v>
          </cell>
          <cell r="C386" t="str">
            <v>Ing. Daniela Estefania Ramírez Martínez</v>
          </cell>
          <cell r="D386" t="str">
            <v>Av. De los tabachines # 37, Condominio industrial Santa Cruz, Santa Cruz de las Flores , Tlajomulco de Zuñiga, Jalisco. Mexico. C.P. 45640</v>
          </cell>
        </row>
        <row r="387">
          <cell r="A387">
            <v>411</v>
          </cell>
          <cell r="B387" t="str">
            <v>Ibinza S.A. de C.V.</v>
          </cell>
          <cell r="D387" t="str">
            <v>Tenochtitlán #2103, Int. Fraccionamiento Vista Verde, C.P. 87024, Ciudad Victoria, Tamaulipas.</v>
          </cell>
        </row>
        <row r="388">
          <cell r="A388">
            <v>412</v>
          </cell>
          <cell r="B388" t="str">
            <v>KPACKMEXICO</v>
          </cell>
          <cell r="C388" t="str">
            <v>Brayan Stward Sanchez.</v>
          </cell>
          <cell r="D388" t="str">
            <v>Av. Aviación #6665, bodega 4, Parque Industrial el Camichin, Zapopan, Jalisco.</v>
          </cell>
        </row>
        <row r="389">
          <cell r="A389">
            <v>413</v>
          </cell>
          <cell r="B389" t="str">
            <v>Tacoma Industrias del Centro S.A. De C.V.</v>
          </cell>
          <cell r="C389" t="str">
            <v>Noemi Espinoza</v>
          </cell>
          <cell r="D389" t="str">
            <v>Carretera A Valladolid, Lote No.2, C.P. 20300, San Francisco de los Romo, Ags.</v>
          </cell>
        </row>
        <row r="390">
          <cell r="A390">
            <v>414</v>
          </cell>
          <cell r="B390" t="str">
            <v>Aguascalientes Steel Coil Center S.A. de C.V.</v>
          </cell>
          <cell r="C390" t="str">
            <v>Ernestina Aguilera</v>
          </cell>
          <cell r="D390" t="str">
            <v>Circuito Progreso No. 113  Pila Parque Industrial de Logistica Automotriz,C.P. 20340 Aguascalientes.</v>
          </cell>
        </row>
        <row r="391">
          <cell r="A391">
            <v>415</v>
          </cell>
          <cell r="B391" t="str">
            <v>MARELLI TOLUCA MEXICO S. DE R.L. DE C.V.</v>
          </cell>
          <cell r="C391" t="str">
            <v>Paola Valdez</v>
          </cell>
          <cell r="D391" t="str">
            <v>AVE. JOHNSON CONTROLS NO. 2011 PARQUE I. RAMOS ARIZPE, COAH. C.P. 25903</v>
          </cell>
        </row>
        <row r="392">
          <cell r="A392">
            <v>416</v>
          </cell>
          <cell r="B392" t="str">
            <v>Universidad de Guadalajara</v>
          </cell>
          <cell r="C392" t="str">
            <v xml:space="preserve">Fernando Alvarez </v>
          </cell>
          <cell r="D392" t="str">
            <v>Juarez #976, Guadalajara, Jalisco.</v>
          </cell>
        </row>
        <row r="393">
          <cell r="A393">
            <v>417</v>
          </cell>
          <cell r="B393" t="str">
            <v>CIMA LOGISTIC</v>
          </cell>
          <cell r="C393" t="str">
            <v>Jessica Badilla Camacho</v>
          </cell>
          <cell r="D393" t="str">
            <v>Carretera Manzanillo- Minatitlan km4.5, Tapeixtles, Colima, C.P.28239.</v>
          </cell>
        </row>
        <row r="394">
          <cell r="A394">
            <v>418</v>
          </cell>
          <cell r="B394" t="str">
            <v>Pace industries de Chihuahua II, S.A. De C.V.</v>
          </cell>
          <cell r="C394" t="str">
            <v>Jorge de la Torre</v>
          </cell>
          <cell r="D394" t="str">
            <v>Avenida Alejandro Dumas #11326, Complejo Industrial Chihuahua, C.P. 31136, Chihuahua.</v>
          </cell>
        </row>
        <row r="395">
          <cell r="A395">
            <v>419</v>
          </cell>
          <cell r="B395" t="str">
            <v>Sem Weber Planta 2</v>
          </cell>
          <cell r="C395" t="str">
            <v>Jesus Duarte.</v>
          </cell>
          <cell r="D395" t="str">
            <v>Av. Ishikawa # 1001, Parque Industrial Supra, C.P. 31183, Chihuahua, Chihuahua.</v>
          </cell>
        </row>
        <row r="396">
          <cell r="A396">
            <v>420</v>
          </cell>
          <cell r="B396" t="str">
            <v>IBC Metrology.</v>
          </cell>
          <cell r="C396" t="str">
            <v>Veronica Navarro.</v>
          </cell>
          <cell r="D396" t="str">
            <v>Luis Ortega 16 A, Fraccionamiento Jardines del Valle, Irapuato, Guanajuato, C.P. 36611.</v>
          </cell>
        </row>
        <row r="397">
          <cell r="A397">
            <v>421</v>
          </cell>
          <cell r="B397" t="str">
            <v>America Amaranta Siller Compian (Mediciones y Proyectos Industriales MEPI)</v>
          </cell>
          <cell r="C397" t="str">
            <v>Laura Abigail De los Santos Nieto</v>
          </cell>
          <cell r="D397" t="str">
            <v>Calle Nueva 264 Colonia El Mirador Ramos Arizpe Coahuila C.P. 25902</v>
          </cell>
        </row>
        <row r="398">
          <cell r="A398">
            <v>422</v>
          </cell>
          <cell r="B398" t="str">
            <v>Industrias GW S de RL.</v>
          </cell>
          <cell r="C398" t="str">
            <v>Juan Bocanegra</v>
          </cell>
          <cell r="D398" t="str">
            <v>Calle Liderazgo S/N,edores Lotes 8,9 y 10, Manzana 2 Parque Industrial Buena Opción Carretera Alterna Celaya- Villagran, KM , 6.5 Fracc. El puente Celaya, Gto. 38110</v>
          </cell>
        </row>
        <row r="399">
          <cell r="A399">
            <v>423</v>
          </cell>
          <cell r="B399" t="str">
            <v>Zapotlán Residuos S.A. De C.V.</v>
          </cell>
          <cell r="C399" t="str">
            <v>Rogelio Blumgart.</v>
          </cell>
          <cell r="D399" t="str">
            <v>Av. Tizapan #1750, Jardines de Santa Maria, C.P.45606, Tlaquepaque, Jalisco.</v>
          </cell>
        </row>
        <row r="400">
          <cell r="A400">
            <v>424</v>
          </cell>
          <cell r="B400" t="str">
            <v>NOJA PACKAFING DE MEXICO SA DE CV</v>
          </cell>
          <cell r="C400" t="str">
            <v>Alejandro Hernandez</v>
          </cell>
          <cell r="D400" t="str">
            <v>Calle Uno #40 Rancho Medio Kilo, Ejido la Guayaba C.P. 20350, San Francisco de los Romos.</v>
          </cell>
        </row>
        <row r="401">
          <cell r="A401">
            <v>425</v>
          </cell>
          <cell r="B401" t="str">
            <v>KATCON, S.A. DE C.V.</v>
          </cell>
          <cell r="C401" t="str">
            <v>IVAN IBARRA</v>
          </cell>
          <cell r="D401" t="str">
            <v>AV. MANUEL ORDOÑEZ NO. 601, COLONIA CENTRO, SANTA CATARINA, NUEVO LEÓN. C.P. 66350.</v>
          </cell>
        </row>
        <row r="402">
          <cell r="A402">
            <v>426</v>
          </cell>
          <cell r="B402" t="str">
            <v>Suspensiones ENSA</v>
          </cell>
          <cell r="C402" t="str">
            <v>Ivone</v>
          </cell>
          <cell r="D402" t="str">
            <v>Camino Real, Agua Amarilla #350, Tlaquepaque, Jalisco.</v>
          </cell>
        </row>
        <row r="403">
          <cell r="A403">
            <v>427</v>
          </cell>
          <cell r="B403" t="str">
            <v>Especialidades Térmicas S.A. De C.V.</v>
          </cell>
          <cell r="C403" t="str">
            <v>Laura Medina</v>
          </cell>
          <cell r="D403" t="str">
            <v>Calle Rio Tizapan #1693, Col. Atlas, Guadalajara, Jalisco, C.P.44870.</v>
          </cell>
        </row>
        <row r="404">
          <cell r="A404">
            <v>428</v>
          </cell>
          <cell r="B404" t="str">
            <v>Industrias Gutierrez S.A. De C.V.</v>
          </cell>
          <cell r="C404" t="str">
            <v>Ing. Sandro Arcel Rosales Flores.</v>
          </cell>
          <cell r="D404" t="str">
            <v>Av. 8 de Julio #2495.</v>
          </cell>
        </row>
        <row r="405">
          <cell r="A405">
            <v>429</v>
          </cell>
          <cell r="B405" t="str">
            <v>Tratamientos de tarimas ht</v>
          </cell>
          <cell r="C405" t="str">
            <v>Francisco Coss Bernal</v>
          </cell>
          <cell r="D405" t="str">
            <v>Priv. Gobernadores No.8, Col. Cuitláhuac, Querétaro, Querétaro, C.P. 76087.</v>
          </cell>
        </row>
        <row r="406">
          <cell r="A406">
            <v>430</v>
          </cell>
          <cell r="B406" t="str">
            <v xml:space="preserve"> </v>
          </cell>
          <cell r="C406" t="str">
            <v>EDER REYES</v>
          </cell>
          <cell r="D406" t="str">
            <v>AVE. JOHNSON CONTROLS NO. 2011 PARQUE I. RAMOS ARIZPE, COAH. C.P. 25903</v>
          </cell>
        </row>
        <row r="407">
          <cell r="A407">
            <v>431</v>
          </cell>
          <cell r="B407" t="str">
            <v>FUNDICIÓN DE ALEACIONES ESPECIALES DE MÉXICO S.A. DE C.V</v>
          </cell>
          <cell r="C407" t="str">
            <v>ING. JOSE ORLANDO ACOSTA GARCIA</v>
          </cell>
          <cell r="D407" t="str">
            <v xml:space="preserve"> VALLE DEL ROSARIO No. 540 COL. LOS PINOS, RAMOS ARIZPE, COAHUILA</v>
          </cell>
        </row>
        <row r="408">
          <cell r="A408">
            <v>432</v>
          </cell>
          <cell r="B408" t="str">
            <v>SANDVIK MINING AND CONSTRUCTION DE MEXICO S.A DE C.V.</v>
          </cell>
          <cell r="C408" t="str">
            <v>Alejandra Luna</v>
          </cell>
          <cell r="D408" t="str">
            <v>Benjamin Franklin #8, Tlajomulco de Zuñiga, Jalisco</v>
          </cell>
        </row>
        <row r="409">
          <cell r="A409">
            <v>433</v>
          </cell>
          <cell r="B409" t="str">
            <v>Manufacturas Zapaliname, S.A. de C.V. / Senior Flexonics</v>
          </cell>
          <cell r="C409" t="str">
            <v>Ing. Ivan Vazquez</v>
          </cell>
          <cell r="D409" t="str">
            <v>Carretera Saltillo-Zacatecas Km. 4.5, La Angostura, Saltillo, Coahuila, México, C.P. 25315</v>
          </cell>
        </row>
        <row r="410">
          <cell r="A410">
            <v>434</v>
          </cell>
          <cell r="B410" t="str">
            <v>Dulet internacional S.de RL de C.V.</v>
          </cell>
          <cell r="C410" t="str">
            <v>Sergio Cimentel</v>
          </cell>
          <cell r="D410" t="str">
            <v>Bosque San Carlos D3.</v>
          </cell>
        </row>
        <row r="411">
          <cell r="A411">
            <v>435</v>
          </cell>
          <cell r="B411" t="str">
            <v>Albca Packaging de México</v>
          </cell>
          <cell r="C411" t="str">
            <v>Verónica Salto</v>
          </cell>
          <cell r="D411" t="str">
            <v>Juridica 107, Parq. Industrial, Queretaro.</v>
          </cell>
        </row>
        <row r="412">
          <cell r="A412">
            <v>436</v>
          </cell>
          <cell r="B412" t="str">
            <v>Rac Ingenieria e Instalaciones en energias térmicas</v>
          </cell>
          <cell r="C412" t="str">
            <v>Daniel Ramirez</v>
          </cell>
          <cell r="D412" t="str">
            <v>Av. Parajes 18C-7, int. B #503.</v>
          </cell>
        </row>
        <row r="413">
          <cell r="A413">
            <v>437</v>
          </cell>
          <cell r="B413" t="str">
            <v>Eco Feed.</v>
          </cell>
          <cell r="C413" t="str">
            <v>Adelaida Rueda</v>
          </cell>
          <cell r="D413" t="str">
            <v>Juarez #13, Parq. Ind. Cedros, Ixtlahuacan, Jalisco.</v>
          </cell>
        </row>
        <row r="414">
          <cell r="A414">
            <v>438</v>
          </cell>
          <cell r="B414" t="str">
            <v>Grupo el Pro</v>
          </cell>
          <cell r="C414" t="str">
            <v>Evangelina Fernandez</v>
          </cell>
          <cell r="D414" t="str">
            <v>López de Legazpi #635, Zona Industrial,Guadalajara Jalisco.</v>
          </cell>
        </row>
        <row r="415">
          <cell r="A415">
            <v>439</v>
          </cell>
          <cell r="B415" t="str">
            <v>Medilab Diagnóstico Médico Empresarial S. de R.L. de C.V.</v>
          </cell>
          <cell r="C415" t="str">
            <v>Jesús Ibarra</v>
          </cell>
          <cell r="D415" t="str">
            <v>Lapizlazuli # 2905, Residencial Victoria, C.P.44560, Guadalajara, Jalisco.</v>
          </cell>
        </row>
        <row r="416">
          <cell r="A416">
            <v>440</v>
          </cell>
          <cell r="B416" t="str">
            <v>Audi Center López Mateos.</v>
          </cell>
          <cell r="C416" t="str">
            <v>Hector Altamirano</v>
          </cell>
          <cell r="D416" t="str">
            <v>Av Niños Héroes 716, Jardines de Los Arcos, C.P.44500 Guadalajara, Jal.</v>
          </cell>
        </row>
        <row r="417">
          <cell r="A417">
            <v>441</v>
          </cell>
          <cell r="B417" t="str">
            <v>Caycer Ingeniería y Metrología</v>
          </cell>
          <cell r="C417" t="str">
            <v>Gabriel Camarena.</v>
          </cell>
        </row>
        <row r="418">
          <cell r="A418">
            <v>442</v>
          </cell>
          <cell r="B418" t="str">
            <v>Demek S.A. de C.V.</v>
          </cell>
          <cell r="C418" t="str">
            <v>Miguel Cervantes.</v>
          </cell>
          <cell r="D418" t="str">
            <v>Batalla de Puebla #3643, Col.Tapatio, San Pedro, Tlaquepaque</v>
          </cell>
        </row>
        <row r="419">
          <cell r="A419">
            <v>443</v>
          </cell>
          <cell r="B419" t="str">
            <v>Sintrem S.A. de C.V.</v>
          </cell>
          <cell r="D419" t="str">
            <v>Centro ejecutivo #5700, piso 2, complejo industrial el Saucito Chichuahua, C.P. 31123.</v>
          </cell>
        </row>
        <row r="420">
          <cell r="A420">
            <v>445</v>
          </cell>
          <cell r="B420" t="str">
            <v xml:space="preserve">IBC METROLOGY S.A. DE C.V </v>
          </cell>
          <cell r="C420" t="str">
            <v>Francisco Torres</v>
          </cell>
          <cell r="D420" t="str">
            <v>Calle Pichon #1480, Col. Morelos, Guadalajara, Jalisco. C.P. 44910</v>
          </cell>
        </row>
        <row r="421">
          <cell r="A421">
            <v>446</v>
          </cell>
          <cell r="B421" t="str">
            <v>Seat Euromadrid S.A. de C.V.</v>
          </cell>
          <cell r="C421" t="str">
            <v>JESUS GUTIERREZ</v>
          </cell>
          <cell r="D421" t="str">
            <v>LUIS ORTEGA 169A, JARDINES DEL VALLE, IRAPUATO GTO</v>
          </cell>
        </row>
        <row r="422">
          <cell r="A422">
            <v>447</v>
          </cell>
          <cell r="B422" t="str">
            <v>Multiservicios 2001 S.A. de C.V.</v>
          </cell>
          <cell r="C422" t="str">
            <v>Daniel Sandoval.</v>
          </cell>
          <cell r="D422" t="str">
            <v>Av. López Mateos Sur 4001, Guadalajara, Jalisco.</v>
          </cell>
        </row>
        <row r="423">
          <cell r="A423">
            <v>448</v>
          </cell>
          <cell r="B423" t="str">
            <v>NatureSweet Planta Zapotlán</v>
          </cell>
          <cell r="C423" t="str">
            <v>Joel Mendoza</v>
          </cell>
          <cell r="D423" t="str">
            <v>Av. Carretera La Piedad Ciudad Manuel Doblado, Km 1 Colonia Santa Ana Paueco C.P. 35910, Municipio Penjamo Gto.</v>
          </cell>
        </row>
        <row r="424">
          <cell r="A424">
            <v>449</v>
          </cell>
          <cell r="B424" t="str">
            <v>Provedora de seguridad industrial del golfo S.A. De C.V.</v>
          </cell>
          <cell r="C424" t="str">
            <v>Hugo Evangelista.</v>
          </cell>
          <cell r="D424" t="str">
            <v>Carretera Cd. Guzmán, el fresnito km 10, Centro, C.P. 4900, Cd, Guzmán, Jalisco.</v>
          </cell>
        </row>
        <row r="425">
          <cell r="A425">
            <v>450</v>
          </cell>
          <cell r="B425" t="str">
            <v>Laboratorios Pisa.</v>
          </cell>
          <cell r="D425" t="str">
            <v>Calle 6, No. 2676, Zona Industrial, Guadalajara, Jalisco.</v>
          </cell>
        </row>
        <row r="426">
          <cell r="A426">
            <v>451</v>
          </cell>
          <cell r="B426" t="str">
            <v xml:space="preserve">Agroinnova Centro impulsor de Negocios SPR DE RL </v>
          </cell>
          <cell r="C426" t="str">
            <v>Karen Mendez Mendoza</v>
          </cell>
          <cell r="D426" t="str">
            <v>Ferrocarril Hgo S N, Puebla y vias del Tren Estacion Tepa CP: 43831.</v>
          </cell>
        </row>
        <row r="427">
          <cell r="A427">
            <v>452</v>
          </cell>
          <cell r="B427" t="str">
            <v>Tequilera Santa Teresa.</v>
          </cell>
          <cell r="C427" t="str">
            <v xml:space="preserve">Agroinnova Centro impulsor de Negocios SPR DE RL </v>
          </cell>
          <cell r="D427" t="str">
            <v>Comunidad Santa Teresa, México 15, Tequila, Jalisco, C.P. 46409.</v>
          </cell>
        </row>
        <row r="428">
          <cell r="A428">
            <v>453</v>
          </cell>
          <cell r="B428" t="str">
            <v>Craft Avia Center S.A.P.I De C.V.</v>
          </cell>
          <cell r="C428" t="str">
            <v>Ing. Carlos Garcia Portillo.</v>
          </cell>
          <cell r="D428" t="str">
            <v>Beigin Int. 1427, Centro Logistico Jalisco, Acatlan de Juarez, Jalisco.</v>
          </cell>
        </row>
        <row r="429">
          <cell r="A429">
            <v>454</v>
          </cell>
          <cell r="B429" t="str">
            <v>José Manuel Arriata Lugo.</v>
          </cell>
          <cell r="C429" t="str">
            <v>Luisa Salazar.</v>
          </cell>
          <cell r="D429" t="str">
            <v>Av. Moctezuma No.5270-4, Col. Villa Puerta del Sol.</v>
          </cell>
        </row>
        <row r="430">
          <cell r="A430">
            <v>455</v>
          </cell>
          <cell r="B430" t="str">
            <v>Distribuidora Disur S.A. de C.V.</v>
          </cell>
          <cell r="C430" t="str">
            <v>José Manuel Arriata.</v>
          </cell>
          <cell r="D430" t="str">
            <v>Calz.México, Xochimilco #4856.</v>
          </cell>
        </row>
        <row r="431">
          <cell r="A431">
            <v>456</v>
          </cell>
          <cell r="B431" t="str">
            <v>Ica Constructora de infraestructura S.A. de C.V.</v>
          </cell>
          <cell r="C431" t="str">
            <v>Adrian Vazquez Iturbide</v>
          </cell>
          <cell r="D431" t="str">
            <v>Carr. Kantunikin km. 25 del poblado el ideal, Lazaro cardenas, Quintana roo.</v>
          </cell>
        </row>
        <row r="432">
          <cell r="A432">
            <v>457</v>
          </cell>
          <cell r="B432" t="str">
            <v>Fusión y Formas S.A. de C.V.</v>
          </cell>
          <cell r="C432" t="str">
            <v>Ing. Azai Herrera Hernandez</v>
          </cell>
          <cell r="D432" t="str">
            <v>Calle rastro #70, Zapopan, Jalisco.</v>
          </cell>
        </row>
        <row r="433">
          <cell r="A433">
            <v>458</v>
          </cell>
          <cell r="B433" t="str">
            <v>Litrográfica de Gunteberg S.A. de C.V.</v>
          </cell>
          <cell r="C433" t="str">
            <v>Pedro Campos.</v>
          </cell>
          <cell r="D433" t="str">
            <v>C.Escorza # 489, Col. Americana, C.P. 44190, Guadalajara, Jalisco.</v>
          </cell>
        </row>
        <row r="434">
          <cell r="A434">
            <v>459</v>
          </cell>
          <cell r="B434" t="str">
            <v>Bussmann S. de R.L de C.V.</v>
          </cell>
          <cell r="D434" t="str">
            <v>Av. Cerrada la Estacada # 451,Queretaro, QRO,C.P.76220</v>
          </cell>
        </row>
        <row r="435">
          <cell r="A435">
            <v>460</v>
          </cell>
          <cell r="B435" t="str">
            <v>MARELLI SALTILLO MEXICO S. DE R.L DE CV.</v>
          </cell>
          <cell r="C435" t="str">
            <v>Anwar Chavez Morales.</v>
          </cell>
          <cell r="D435" t="str">
            <v>CARRETERA ESTATAL 105 DERRAMADERO GENERAL CEPEDA PARRAS No. 895, PARQUE INDUSTRIAL SANTA MONICA, SALTILLO, COAHUILA. CP. 25300</v>
          </cell>
        </row>
        <row r="436">
          <cell r="A436">
            <v>461</v>
          </cell>
          <cell r="B436" t="str">
            <v>Tuercas y abrazaderas Ensa S.A. de C.V.</v>
          </cell>
          <cell r="C436" t="str">
            <v>LUIS ANGEL CHARLES RODRIGUEZ</v>
          </cell>
          <cell r="D436" t="str">
            <v>Calzada del ejercito #789, C.P. 44430, Guadalajara, Jalisco.</v>
          </cell>
        </row>
        <row r="437">
          <cell r="A437">
            <v>462</v>
          </cell>
          <cell r="B437" t="str">
            <v>Gova operadora turistica S de RL de CV.</v>
          </cell>
          <cell r="C437" t="str">
            <v>Ivonne Rodriguez.</v>
          </cell>
          <cell r="D437" t="str">
            <v>Carretera Federal 200, Tepic- Puerto Vallarta #155, Jarretaderas, C.P. 63735, Nuevo Vallarta, Nayarit, México.</v>
          </cell>
        </row>
        <row r="438">
          <cell r="A438">
            <v>463</v>
          </cell>
          <cell r="B438" t="str">
            <v>Gutentag DVS S.A de C.V</v>
          </cell>
          <cell r="C438" t="str">
            <v>Lic. David Corzo Baltazar.</v>
          </cell>
          <cell r="D438" t="str">
            <v>CDMX. Cafetales- Tlalpan, calle. Alfalfares, y calle lateral periférico Sur, No. 44,c.p. 14330.</v>
          </cell>
        </row>
        <row r="439">
          <cell r="A439">
            <v>464</v>
          </cell>
          <cell r="B439" t="str">
            <v>MC Procesos en papel y cartón S.A. De C.V.</v>
          </cell>
          <cell r="C439" t="str">
            <v>Juan Manuel Gallegos.</v>
          </cell>
          <cell r="D439" t="str">
            <v>Camino a Santa Ana Tepatitlan #2041, Zapopan, Jalisco.</v>
          </cell>
        </row>
        <row r="440">
          <cell r="A440">
            <v>465</v>
          </cell>
          <cell r="B440" t="str">
            <v>Comercializadora Flexible S.A. De C.V.</v>
          </cell>
          <cell r="C440" t="str">
            <v>Ing. Daniel Martínez</v>
          </cell>
          <cell r="D440" t="str">
            <v>San Francisco #215, Valle de la Misericordia, Tlaquepaque, Jalisco</v>
          </cell>
        </row>
        <row r="441">
          <cell r="A441">
            <v>466</v>
          </cell>
          <cell r="B441" t="str">
            <v>Proveedora Chevrolet S.A. de C.V.</v>
          </cell>
          <cell r="D441" t="str">
            <v>Blvd. Francisco Villa km 1.5, Col.Maximo Gomiz Fernandez, C.P.34200, Durango, Durango.</v>
          </cell>
        </row>
        <row r="442">
          <cell r="A442">
            <v>467</v>
          </cell>
          <cell r="B442" t="str">
            <v>APX Multiservicios.</v>
          </cell>
          <cell r="C442" t="str">
            <v>Fredy Rico Ramirez</v>
          </cell>
          <cell r="D442" t="str">
            <v>Laurel #309, Cuitzeo, Municipio de Poncitlan, Poncitlan Jalisco, C.P. 45965.</v>
          </cell>
        </row>
        <row r="443">
          <cell r="A443">
            <v>468</v>
          </cell>
          <cell r="B443" t="str">
            <v>Kegma S.A De. C.V.</v>
          </cell>
          <cell r="D443" t="str">
            <v>Calle Industrial #4, #41-A, La primavera, Culiacan, Sinaloa.</v>
          </cell>
        </row>
        <row r="444">
          <cell r="A444">
            <v>469</v>
          </cell>
          <cell r="B444" t="str">
            <v>TERZA S.A de C.V.</v>
          </cell>
          <cell r="C444" t="str">
            <v>Arturo Blanco.</v>
          </cell>
          <cell r="D444" t="str">
            <v>Carretera a Monclova km 11.5, El Carmen Nuevo León, México, C.P. 66550</v>
          </cell>
        </row>
        <row r="445">
          <cell r="A445">
            <v>470</v>
          </cell>
          <cell r="B445" t="str">
            <v>Pastelería la Salle</v>
          </cell>
          <cell r="C445" t="str">
            <v>Ing. José Isidro Calzado Muñiz.</v>
          </cell>
          <cell r="D445" t="str">
            <v>Blvd Nazario Ortiz Garza No. 2880Col. Residencial Los Lagos, Saltillo, Coahuila, México. C.P. 25 253</v>
          </cell>
        </row>
        <row r="446">
          <cell r="A446">
            <v>471</v>
          </cell>
          <cell r="B446" t="str">
            <v>Logil S. de R.L. de C.V.</v>
          </cell>
          <cell r="C446" t="str">
            <v xml:space="preserve"> Alejandra Elizabeth Aguilar Reynosa.</v>
          </cell>
          <cell r="D446" t="str">
            <v xml:space="preserve">Juan Ignacio Matute #307, Guadalajara, C.P. 44150, Jalisco. </v>
          </cell>
        </row>
        <row r="447">
          <cell r="A447">
            <v>472</v>
          </cell>
          <cell r="B447" t="str">
            <v>VOLVO GROUP MÉXICO S.A. DE C.V.</v>
          </cell>
          <cell r="C447" t="str">
            <v>Maria Guadalupe Avalos</v>
          </cell>
          <cell r="D447" t="str">
            <v>Lago de Guadalupe N°289 Colonia Ex Rancho la Cadena Hacienda Portales y Cartagena Tultitlán Estado de México C.P. 54900</v>
          </cell>
        </row>
        <row r="448">
          <cell r="A448">
            <v>473</v>
          </cell>
          <cell r="B448" t="str">
            <v>Casa Tradición  S.A De C.V.</v>
          </cell>
          <cell r="C448" t="str">
            <v>Veronica Guzmán</v>
          </cell>
          <cell r="D448" t="str">
            <v>Anillo Periferico Sur, Sr. Cura Salvador Zuñiga #1885, Tepatitlan de Morelos, Jalisco, C.P. 47600</v>
          </cell>
        </row>
        <row r="449">
          <cell r="A449">
            <v>474</v>
          </cell>
          <cell r="B449" t="str">
            <v>Instituto de Diagnóstico y Referencia Epidemiológicos</v>
          </cell>
          <cell r="C449" t="str">
            <v xml:space="preserve">Alfonso Hernandez </v>
          </cell>
          <cell r="D449" t="str">
            <v>Francisco de P. Miranda No. 177, Col. Lomas De Plateros, Demarcación Territorial, Alcaldía Álvaro Obregón,C.P. 01480, CDMX</v>
          </cell>
        </row>
        <row r="450">
          <cell r="A450">
            <v>475</v>
          </cell>
          <cell r="B450" t="str">
            <v>Craft Avia Center S.A.P.I De C.V.</v>
          </cell>
          <cell r="C450" t="str">
            <v>Dr. Manuel Martínez Báez</v>
          </cell>
          <cell r="D450" t="str">
            <v>Beijing Int. 1427, Centro Logistico Jalisco, Acatlan de Juarez, Jalisco.</v>
          </cell>
        </row>
        <row r="451">
          <cell r="A451">
            <v>476</v>
          </cell>
          <cell r="B451" t="str">
            <v>KUEHNE + NAGEL S.A. DE C.V.</v>
          </cell>
          <cell r="C451" t="str">
            <v>Maria Luisa Salazar</v>
          </cell>
          <cell r="D451" t="str">
            <v>Boulevard Adolfo Ruiz Cortines 3720 Torre II piso 11 Jardines del Pedregal, Alvaro Obregón, Ciudad de México, C.P. 01900</v>
          </cell>
        </row>
        <row r="452">
          <cell r="A452">
            <v>477</v>
          </cell>
          <cell r="B452" t="str">
            <v>Ica Constructora de infraestructura S.A. de C.V.</v>
          </cell>
          <cell r="C452" t="str">
            <v>Maribel Becerra.</v>
          </cell>
          <cell r="D452" t="str">
            <v>Antigüa carretera Ticucha, Yalcoba, Ticuch, Valladolid, Yucatán.</v>
          </cell>
        </row>
        <row r="453">
          <cell r="A453">
            <v>478</v>
          </cell>
          <cell r="B453" t="str">
            <v>Intermetro de México S de E.L. de C.V</v>
          </cell>
          <cell r="D453" t="str">
            <v>Rio Conchos #9105, Parque industrial Cuauhtémoc Chih. 31570.</v>
          </cell>
        </row>
        <row r="454">
          <cell r="A454">
            <v>479</v>
          </cell>
          <cell r="B454" t="str">
            <v>SECOLAB</v>
          </cell>
          <cell r="C454" t="str">
            <v>Luis Borja.</v>
          </cell>
          <cell r="D454" t="str">
            <v>TRABAJO Y PREVISION SOCIAL # 351-2 COL FEDERAL CP.15700 CDMX.</v>
          </cell>
        </row>
        <row r="455">
          <cell r="A455">
            <v>480</v>
          </cell>
          <cell r="B455" t="str">
            <v>METROLOGY BIOMEDICAL INTEGRAL MBI GROUP</v>
          </cell>
          <cell r="D455" t="str">
            <v>REYNOSA 498 # COL ALTAMIRA CP 36558 IRAPUATO GTO</v>
          </cell>
        </row>
        <row r="456">
          <cell r="A456">
            <v>481</v>
          </cell>
          <cell r="B456" t="str">
            <v>Nomverify México</v>
          </cell>
          <cell r="C456" t="str">
            <v>Damian Luna</v>
          </cell>
          <cell r="D456" t="str">
            <v>Av. Adolfo López Mateos Sur #4550, int. 2A, Fco. Sarabia, C.P. 45236, Zapopan, Jalisco</v>
          </cell>
        </row>
        <row r="457">
          <cell r="A457">
            <v>482</v>
          </cell>
          <cell r="B457" t="str">
            <v>Seiren Viscotec México Abasolo Guanajuato.</v>
          </cell>
          <cell r="C457" t="str">
            <v>Jaime Aguilar</v>
          </cell>
          <cell r="D457" t="str">
            <v>Parque Industrial Marabis Abasolo</v>
          </cell>
        </row>
        <row r="458">
          <cell r="A458">
            <v>483</v>
          </cell>
          <cell r="B458" t="str">
            <v>Pace industries de Chihuahua II, S.A. De C.V</v>
          </cell>
          <cell r="C458" t="str">
            <v>Maribel Campos</v>
          </cell>
          <cell r="D458" t="str">
            <v>Avenida Alejandro Dumas #11326, Complejo Industrial Chihuahua, Chihuahua, Chihuahua. C.P. 31136</v>
          </cell>
        </row>
        <row r="459">
          <cell r="A459">
            <v>484</v>
          </cell>
          <cell r="B459" t="str">
            <v>CMC METROLOGIA SA de CV</v>
          </cell>
          <cell r="C459" t="str">
            <v>Jorge de la Torre.</v>
          </cell>
          <cell r="D459" t="str">
            <v>Paseos de Hidalgo del Parral 13739-B, Col. Paseos de Chihuahua,Chihuahua, Chihuahua. C.P. 31125.</v>
          </cell>
        </row>
        <row r="460">
          <cell r="A460">
            <v>485</v>
          </cell>
          <cell r="B460" t="str">
            <v>Manofacturas Industriales CEJ, S.A. De C.V.</v>
          </cell>
          <cell r="C460" t="str">
            <v>Mauricio Sánchez González</v>
          </cell>
          <cell r="D460" t="str">
            <v>Municipio de Calvillo #103, Col. Piva,San Francisco de los Romo.</v>
          </cell>
        </row>
        <row r="461">
          <cell r="A461">
            <v>486</v>
          </cell>
          <cell r="B461" t="str">
            <v>RF PRECISION LABORATORIO S.A. DE C.V.</v>
          </cell>
          <cell r="D461" t="str">
            <v>Frac. Quinta San Ignacio #1021, Frac. Quintas del Valle,Ciudad Juarez, Chihuahua.</v>
          </cell>
        </row>
        <row r="462">
          <cell r="A462">
            <v>487</v>
          </cell>
          <cell r="B462" t="str">
            <v>Sesajal S.A. de C.V.</v>
          </cell>
          <cell r="C462" t="str">
            <v>Janeth Samaniego.</v>
          </cell>
          <cell r="D462" t="str">
            <v>Calle 22 #2332, Zona Industrial, C.P. 44940, Guadalajara, Jalisco.</v>
          </cell>
        </row>
        <row r="463">
          <cell r="A463">
            <v>488</v>
          </cell>
          <cell r="B463" t="str">
            <v>Biomedica Tinajero S. de R.L de C.V.</v>
          </cell>
          <cell r="C463" t="str">
            <v>Sandra Cantero.</v>
          </cell>
          <cell r="D463" t="str">
            <v>Domingo Sarmiento 2822 4 Providencia 2da Sección, Zapopan, Jalisco. México. C.P. 44630.</v>
          </cell>
        </row>
        <row r="464">
          <cell r="A464">
            <v>489</v>
          </cell>
          <cell r="B464" t="str">
            <v>Bill Forge de México S.A. De C.V.</v>
          </cell>
          <cell r="C464" t="str">
            <v>Cesar Ivan Perez Vargas</v>
          </cell>
          <cell r="D464" t="str">
            <v>Av. Parque Ind. Cuadritos #108, Loc. S Jorge de la Concepción, Celaya, Guadalajara C.P.38104.</v>
          </cell>
        </row>
        <row r="465">
          <cell r="A465">
            <v>490</v>
          </cell>
          <cell r="B465" t="str">
            <v xml:space="preserve">Albea Packaging de Mexico </v>
          </cell>
          <cell r="C465" t="str">
            <v>Veronica Salto</v>
          </cell>
          <cell r="D465" t="str">
            <v>Jurica No. 107 Parque Industrial Queretaro 76220, Querétaro, México</v>
          </cell>
        </row>
        <row r="466">
          <cell r="A466">
            <v>491</v>
          </cell>
          <cell r="B466" t="str">
            <v>Industria de Asiento Superior S.A. De C.V.</v>
          </cell>
          <cell r="C466" t="str">
            <v>Oscar Cordoba</v>
          </cell>
          <cell r="D466" t="str">
            <v>Calle Municipio de Calvillo #101 Int. A, Col. Valle de Aguascalientes, CP 20358, San Francisco de los Romo, Aguascalientes.</v>
          </cell>
        </row>
        <row r="467">
          <cell r="A467">
            <v>492</v>
          </cell>
          <cell r="B467" t="str">
            <v>Muebles Liz S.A De C.V.</v>
          </cell>
          <cell r="C467" t="str">
            <v>Laura Gamboa.</v>
          </cell>
          <cell r="D467" t="str">
            <v>Anastacio Bustamante #1070, Col. Francisco Zarabia, Zapopán, Jalisco.</v>
          </cell>
        </row>
        <row r="468">
          <cell r="A468">
            <v>493</v>
          </cell>
          <cell r="B468" t="str">
            <v>NORTHWEST AUTOMATIZACION S.A. DE C.V.</v>
          </cell>
          <cell r="C468" t="str">
            <v>Santiago Robles.</v>
          </cell>
          <cell r="D468" t="str">
            <v>Circuito Cumbre Queretaro #282, int. B-502, Privalia ambienta, Santiago de Queretaro, Queretaro.</v>
          </cell>
        </row>
        <row r="469">
          <cell r="A469">
            <v>494</v>
          </cell>
          <cell r="B469" t="str">
            <v>International Baskets S.A. de C.V.</v>
          </cell>
          <cell r="C469" t="str">
            <v>Marco Gonzalez</v>
          </cell>
          <cell r="D469" t="str">
            <v>Transformación #22, Corredor Industrial Ruta 80, Cocula,Jalisco.</v>
          </cell>
        </row>
        <row r="470">
          <cell r="A470">
            <v>495</v>
          </cell>
          <cell r="B470" t="str">
            <v>Zurich Tec de México S.A. De C.V.</v>
          </cell>
          <cell r="C470" t="str">
            <v>Daniel Ortiz Galindo.</v>
          </cell>
          <cell r="D470" t="str">
            <v>Callejón de las 4 esquinas, Salvador Zuñiga, Tepatitlán, Jalisco.</v>
          </cell>
        </row>
        <row r="471">
          <cell r="A471">
            <v>496</v>
          </cell>
          <cell r="B471" t="str">
            <v>Tecnologico de Monterrey.</v>
          </cell>
          <cell r="C471" t="str">
            <v>Silvia Santiago.</v>
          </cell>
          <cell r="D471" t="str">
            <v>Av. General Ramón Corona #2514.</v>
          </cell>
        </row>
        <row r="472">
          <cell r="A472">
            <v>497</v>
          </cell>
          <cell r="B472" t="str">
            <v>Naturista Ziloe.</v>
          </cell>
          <cell r="C472" t="str">
            <v>Victor Flores.</v>
          </cell>
          <cell r="D472" t="str">
            <v>Calle Chicle #674,Zapopan, Jalisco.</v>
          </cell>
        </row>
        <row r="473">
          <cell r="A473">
            <v>498</v>
          </cell>
          <cell r="B473" t="str">
            <v>Corporativo Grupo Mexlab.</v>
          </cell>
          <cell r="C473" t="str">
            <v>Diana Lourenco.</v>
          </cell>
          <cell r="D473" t="str">
            <v>Palafox #5486, Col. Paseo del Sol.</v>
          </cell>
        </row>
        <row r="474">
          <cell r="A474">
            <v>499</v>
          </cell>
          <cell r="B474" t="str">
            <v>Zapotlán Residuos S.A. De C.V.</v>
          </cell>
          <cell r="C474" t="str">
            <v>Juan Antonio Sanchez Salgado.</v>
          </cell>
          <cell r="D474" t="str">
            <v>Av. Tizapan #1750, Jardines de Santa Maria, C.P.45606, Tlaquepaque, Jalisco.</v>
          </cell>
        </row>
        <row r="475">
          <cell r="A475">
            <v>500</v>
          </cell>
          <cell r="B475" t="str">
            <v>Siga Solutions.</v>
          </cell>
          <cell r="C475" t="str">
            <v>Luis Javier Morales.</v>
          </cell>
          <cell r="D475" t="str">
            <v>Av. Moctezuma #2400, Zapopan , Jalisco.</v>
          </cell>
        </row>
        <row r="476">
          <cell r="A476">
            <v>501</v>
          </cell>
          <cell r="B476" t="str">
            <v>Adhecintas Rena S.A. de C.V.</v>
          </cell>
          <cell r="C476" t="str">
            <v>Daniel</v>
          </cell>
          <cell r="D476" t="str">
            <v>Maquiladores #160, Parque Industral Chichimeco, Jesús María Aguascalientes, C.P. 20916.</v>
          </cell>
        </row>
        <row r="477">
          <cell r="A477">
            <v>502</v>
          </cell>
          <cell r="B477" t="str">
            <v>Chevrolet Flosol.</v>
          </cell>
          <cell r="C477" t="str">
            <v>Roberto Godinez.</v>
          </cell>
          <cell r="D477" t="str">
            <v>Eulogio Parra #2500, Col. Lomas de Guevara, C.P. 44657, Guadalajara Jalisco.</v>
          </cell>
        </row>
        <row r="478">
          <cell r="A478">
            <v>503</v>
          </cell>
          <cell r="B478" t="str">
            <v>Marelli Toluca México S. De R.L DE C.V</v>
          </cell>
          <cell r="C478" t="str">
            <v>José Coronado</v>
          </cell>
          <cell r="D478" t="str">
            <v>Av. Johnson Controls No. 2011, Parque I.Ramos Arizpe , Coah. C.P 25903.</v>
          </cell>
        </row>
        <row r="479">
          <cell r="A479">
            <v>504</v>
          </cell>
          <cell r="B479" t="str">
            <v>Basculas y servicio técnico Bela</v>
          </cell>
          <cell r="C479" t="str">
            <v>Fabian Vazquez</v>
          </cell>
          <cell r="D479" t="str">
            <v>Jardineros #730, Col. Artesanos Tlaquepaque, C.P, 45598</v>
          </cell>
        </row>
        <row r="480">
          <cell r="A480">
            <v>505</v>
          </cell>
          <cell r="B480" t="str">
            <v>TARIMAS Y EMPAQUES TIEMSA SAS DE CV</v>
          </cell>
          <cell r="C480" t="str">
            <v>JORGE MARTINEZ</v>
          </cell>
          <cell r="D480" t="str">
            <v xml:space="preserve">AV FUNDIDORES 1304-A,PARQUE INDUSTRIAL FUNDIDORES, ZONA INDUSTRIALSAN LUIS POTOSI, SLP, C.P.78421.
</v>
          </cell>
        </row>
        <row r="481">
          <cell r="A481">
            <v>506</v>
          </cell>
          <cell r="B481" t="str">
            <v>Comercializadora de embutidos S.A De C.V.</v>
          </cell>
          <cell r="C481" t="str">
            <v>Leonardo Aguilar Lerma.</v>
          </cell>
          <cell r="D481" t="str">
            <v>Calle Guinea # 110 Col. Tetlan C.P. 44820, Guadalajara, Jalisco.</v>
          </cell>
        </row>
        <row r="482">
          <cell r="A482">
            <v>507</v>
          </cell>
          <cell r="B482" t="str">
            <v>Zapotlán Residuos S.A. De C.V.</v>
          </cell>
          <cell r="C482" t="str">
            <v>Juan Antonio Sanchez Salgado</v>
          </cell>
          <cell r="D482" t="str">
            <v xml:space="preserve">Av. Tizapan, El camino 1750, Industrial 45535, tlaquepaque Jal. </v>
          </cell>
        </row>
        <row r="483">
          <cell r="A483">
            <v>508</v>
          </cell>
          <cell r="B483" t="str">
            <v>Siteur</v>
          </cell>
          <cell r="C483" t="str">
            <v>Ramón Cuevas</v>
          </cell>
          <cell r="D483" t="str">
            <v>Andres Bello #4450.</v>
          </cell>
        </row>
        <row r="484">
          <cell r="A484">
            <v>509</v>
          </cell>
          <cell r="B484" t="str">
            <v>Sanchez y Martin S.A. De C.V.</v>
          </cell>
          <cell r="C484" t="str">
            <v>Oswaldo Rodriguez.</v>
          </cell>
          <cell r="D484" t="str">
            <v>Av. 8 de Julio #2217,Colón Industrial, C.P.44940  Guadalajara, Jalisco.</v>
          </cell>
        </row>
        <row r="485">
          <cell r="A485">
            <v>510</v>
          </cell>
          <cell r="B485" t="str">
            <v>Magna Powertrain.</v>
          </cell>
          <cell r="C485" t="str">
            <v>Luis Silva.</v>
          </cell>
          <cell r="D485" t="str">
            <v>6363 east 14 mile read, Sterling Heights MI-48312.</v>
          </cell>
        </row>
        <row r="486">
          <cell r="A486">
            <v>511</v>
          </cell>
          <cell r="B486" t="str">
            <v>FR Terminales S.A. De C.V.</v>
          </cell>
          <cell r="C486" t="str">
            <v>Roberto Casas</v>
          </cell>
          <cell r="D486" t="str">
            <v>Camino a las Gallinas #1680, Atequiza, Ixtlahuacan, Jalisco, C.P.45860</v>
          </cell>
        </row>
        <row r="487">
          <cell r="A487">
            <v>512</v>
          </cell>
          <cell r="B487" t="str">
            <v>Laboratorios Zeyco S.A. De C.V.</v>
          </cell>
          <cell r="C487" t="str">
            <v>Alejandro Aguirre</v>
          </cell>
          <cell r="D487" t="str">
            <v>Camino a Santa Ana Tepetitlan #2230, Col. Santa Ana Tepetitlan, C.P. 45230, Zapopan, Jal.</v>
          </cell>
        </row>
        <row r="488">
          <cell r="A488">
            <v>513</v>
          </cell>
          <cell r="B488" t="str">
            <v>Nissan Automar.</v>
          </cell>
          <cell r="C488" t="str">
            <v>Damian Guzman.</v>
          </cell>
          <cell r="D488" t="str">
            <v>Francisco Lavastida Ochoa #157 Sur Magisterio, C.P.81470, Guamuchil, Sinaloa</v>
          </cell>
        </row>
        <row r="489">
          <cell r="A489">
            <v>514</v>
          </cell>
          <cell r="B489" t="str">
            <v>Nissan Plassa.</v>
          </cell>
          <cell r="C489" t="str">
            <v>Marisol Soto</v>
          </cell>
          <cell r="D489" t="str">
            <v>Blvd. Emiliano Zapata 156, Ote. Guadalupe, Culiacan, Sinaloa, C.P.80220</v>
          </cell>
        </row>
        <row r="490">
          <cell r="A490">
            <v>515</v>
          </cell>
          <cell r="B490" t="str">
            <v>Volkswagen Tonala.</v>
          </cell>
          <cell r="C490" t="str">
            <v>Luis Romero.</v>
          </cell>
          <cell r="D490" t="str">
            <v>Av- Rio Nilo #7271, Lomas de la Soledad, C.P. 45403, Tonala, Jalisco.</v>
          </cell>
        </row>
        <row r="491">
          <cell r="A491">
            <v>516</v>
          </cell>
          <cell r="B491" t="str">
            <v>Nissan Congreso.</v>
          </cell>
          <cell r="C491" t="str">
            <v>Pedro Gastelum.</v>
          </cell>
          <cell r="D491" t="str">
            <v>Blvd. Pedro Infante, Jardinez 4120, Ote. Desarrollo Urbano, C.P.80100, Culiacán, Sinaloa</v>
          </cell>
        </row>
        <row r="492">
          <cell r="A492">
            <v>517</v>
          </cell>
          <cell r="B492" t="str">
            <v>Nissan Aeropuerto</v>
          </cell>
          <cell r="C492" t="str">
            <v>Mariana Aguirre</v>
          </cell>
          <cell r="D492" t="str">
            <v>Calz. Aeropuerto 5400 a Pte Gasolinera del Valle San Rafael,C.P. 80150, Culiacan, Sinaloa</v>
          </cell>
        </row>
        <row r="493">
          <cell r="A493">
            <v>518</v>
          </cell>
          <cell r="B493" t="str">
            <v>Comercializadora Karkor S.A. de C.V.</v>
          </cell>
          <cell r="C493" t="str">
            <v>Jackeline Rodriguez de la O.</v>
          </cell>
        </row>
        <row r="494">
          <cell r="A494">
            <v>519</v>
          </cell>
          <cell r="B494" t="str">
            <v>Slightly Dried S.A. de C.V.</v>
          </cell>
          <cell r="C494" t="str">
            <v>Alexis Uribe.</v>
          </cell>
          <cell r="D494" t="str">
            <v>Compresión la Retama, Huixquilucan,México, C.P.52760.</v>
          </cell>
        </row>
        <row r="495">
          <cell r="A495">
            <v>520</v>
          </cell>
          <cell r="B495" t="str">
            <v>Alplax Productos Naturales.</v>
          </cell>
          <cell r="C495" t="str">
            <v>Victor Campos.</v>
          </cell>
          <cell r="D495" t="str">
            <v>Av. Del Carmen #261, int. 5 y 6.</v>
          </cell>
        </row>
        <row r="496">
          <cell r="A496">
            <v>521</v>
          </cell>
          <cell r="B496" t="str">
            <v>Diagnosticos Grupo Mexlab S.A. De C.V.</v>
          </cell>
          <cell r="C496" t="str">
            <v>Diana Lourenco.</v>
          </cell>
          <cell r="D496" t="str">
            <v>Paseo del Chopo #2426, Zapopan, Jalisco.</v>
          </cell>
        </row>
        <row r="497">
          <cell r="A497">
            <v>522</v>
          </cell>
          <cell r="D497" t="str">
            <v>Jaime Rivera No. 1690 Col. Paseos del Sol, Zapopan, Jalisco, México, C.P.45079.</v>
          </cell>
        </row>
        <row r="498">
          <cell r="A498">
            <v>523</v>
          </cell>
          <cell r="B498" t="str">
            <v>ZAR- KRUSE</v>
          </cell>
          <cell r="C498" t="str">
            <v>José Alberto Preciado Ladin.</v>
          </cell>
          <cell r="D498" t="str">
            <v>Carretera libre a Celaya Apaseo km45, Parque industrial, Pibsa Nave 4 y 5, Apaseo el Grande, Guanajuato</v>
          </cell>
        </row>
        <row r="499">
          <cell r="A499">
            <v>524</v>
          </cell>
          <cell r="B499" t="str">
            <v>Aeroplasa de Occidente S.A. De C.V.</v>
          </cell>
          <cell r="C499" t="str">
            <v>Juan Carlos Ascencio.</v>
          </cell>
          <cell r="D499" t="str">
            <v>Insurgente Poniente, Centro , Tepic,Nayarit, C.P. 63000.</v>
          </cell>
        </row>
        <row r="500">
          <cell r="A500">
            <v>525</v>
          </cell>
          <cell r="B500" t="str">
            <v>Maquiladora de Bebidas S.A. De C.V.</v>
          </cell>
          <cell r="D500" t="str">
            <v>Av. Muebleros #216, Parque Industrial, Jesus Maria Aguascalientes C.P.20916.</v>
          </cell>
        </row>
        <row r="501">
          <cell r="A501">
            <v>526</v>
          </cell>
          <cell r="B501" t="str">
            <v>Grupo Carbel, S.A. de C.V.</v>
          </cell>
          <cell r="D501" t="str">
            <v>Camino a Penwalt Km. 22.5 No.164 Int. 1 . El Salto Jalisco CP:45680.</v>
          </cell>
        </row>
        <row r="502">
          <cell r="A502">
            <v>527</v>
          </cell>
          <cell r="B502" t="str">
            <v>Grupo Biotecap S.A. De C.V.</v>
          </cell>
          <cell r="C502" t="str">
            <v>Rafael Ramirez.</v>
          </cell>
          <cell r="D502" t="str">
            <v>Avenida la Puerta 249 Tepatitlan de Morelos, Jalisco. México. C.P. 47600</v>
          </cell>
        </row>
        <row r="503">
          <cell r="A503">
            <v>528</v>
          </cell>
          <cell r="B503" t="str">
            <v>Comunidad de Aquila</v>
          </cell>
          <cell r="C503" t="str">
            <v>Lorena Orozco</v>
          </cell>
          <cell r="D503" t="str">
            <v>Brecha Mina Aquila, km 3, C. P., Aquila, Michoacán</v>
          </cell>
        </row>
        <row r="504">
          <cell r="A504">
            <v>529</v>
          </cell>
          <cell r="B504" t="str">
            <v>Mexfiber S.A. De C.V.</v>
          </cell>
          <cell r="D504" t="str">
            <v>Av. Concepción 1014, Lote 1, Col. San Jose del Valle, C.P. 45654, Zapopan, Jalisco.</v>
          </cell>
        </row>
        <row r="505">
          <cell r="A505">
            <v>530</v>
          </cell>
          <cell r="B505" t="str">
            <v xml:space="preserve"> FUNDICIÓN DE ALEACIONES ESPECIALES DE MÉXICO S.A. DE C.V.</v>
          </cell>
          <cell r="C505" t="str">
            <v>ING. JOSE ORLANDO ACOSTA GARCIA</v>
          </cell>
          <cell r="D505" t="str">
            <v>VALLE DEL ROSARIO No. 540 COL. LOS PINOS, RAMOS ARIZPE, COAHUILA</v>
          </cell>
        </row>
        <row r="506">
          <cell r="A506">
            <v>531</v>
          </cell>
          <cell r="B506" t="str">
            <v>Confort Aire de Occidente S.A.  De C.V.</v>
          </cell>
          <cell r="C506" t="str">
            <v xml:space="preserve">Ing. Emilio Gonzalez </v>
          </cell>
          <cell r="D506" t="str">
            <v>Av. Playa la Manzanilla No. 89 Col. Mercado Tecoman Colima</v>
          </cell>
        </row>
        <row r="507">
          <cell r="A507">
            <v>532</v>
          </cell>
          <cell r="B507" t="str">
            <v>BP Estaciones y Servicios energeticos</v>
          </cell>
          <cell r="C507" t="str">
            <v>Stefania Solares.</v>
          </cell>
          <cell r="D507" t="str">
            <v>Av. Sta. Fé #505, Piso 10, Cuajimalpa, México.</v>
          </cell>
        </row>
        <row r="508">
          <cell r="A508">
            <v>533</v>
          </cell>
          <cell r="B508" t="str">
            <v>Biobest México.</v>
          </cell>
          <cell r="C508" t="str">
            <v>Quetzalli Sanchez.</v>
          </cell>
          <cell r="D508" t="str">
            <v>Josefa Ortiz de Dominguez #24, Zapopan Jalisco.</v>
          </cell>
        </row>
        <row r="509">
          <cell r="A509">
            <v>534</v>
          </cell>
          <cell r="B509" t="str">
            <v>Teck pack.</v>
          </cell>
          <cell r="C509" t="str">
            <v>Oscar Navarro.</v>
          </cell>
          <cell r="D509" t="str">
            <v>Carretera a Nogales 5297 Bodega 34 Campo lago, Zapopan, Jalisco. México. C.P. 45222</v>
          </cell>
        </row>
        <row r="510">
          <cell r="A510">
            <v>535</v>
          </cell>
          <cell r="B510" t="str">
            <v xml:space="preserve">SOPORTE ELÉCTRICO INTERNACIONAL </v>
          </cell>
          <cell r="C510" t="str">
            <v>Erick Ramírez</v>
          </cell>
          <cell r="D510" t="str">
            <v xml:space="preserve"> Emilio Castelar No. 164 Int. 10 Col. Arcos Vallarta CP: 44130 Guadalajara, Jalisco</v>
          </cell>
        </row>
        <row r="511">
          <cell r="A511">
            <v>536</v>
          </cell>
          <cell r="B511" t="str">
            <v>Nuplen S.A. De C.V.</v>
          </cell>
          <cell r="C511" t="str">
            <v>Cesar Alberto Cortinas Castro</v>
          </cell>
          <cell r="D511" t="str">
            <v>Calle Canatlun #305, Parque Insdustrial Lagunero, C.P. 35077, Gómez.</v>
          </cell>
        </row>
        <row r="512">
          <cell r="A512">
            <v>537</v>
          </cell>
          <cell r="B512" t="str">
            <v>Accesorios Forestales de Occidente</v>
          </cell>
          <cell r="C512" t="str">
            <v>Jesus Aviña.</v>
          </cell>
          <cell r="D512" t="str">
            <v>Cangrejo #5024, La calma, Zapopan, Jalisco, C.P.45070.</v>
          </cell>
        </row>
        <row r="513">
          <cell r="A513">
            <v>538</v>
          </cell>
          <cell r="B513" t="str">
            <v>Beyond Nutrition Products</v>
          </cell>
          <cell r="C513" t="str">
            <v>Diana Bravo.</v>
          </cell>
          <cell r="D513" t="str">
            <v>Av. Del Estaño #10, Parque Industrial CIMEG, El Salto, Jalisco.</v>
          </cell>
        </row>
        <row r="514">
          <cell r="A514">
            <v>539</v>
          </cell>
          <cell r="B514" t="str">
            <v>APX Multiservicios.</v>
          </cell>
          <cell r="C514" t="str">
            <v>Fredi Rico.</v>
          </cell>
          <cell r="D514" t="str">
            <v>Valle de Oros # 1328 Int. A, Col. Ampliacion de Miravalle Sonora</v>
          </cell>
        </row>
        <row r="515">
          <cell r="A515">
            <v>540</v>
          </cell>
          <cell r="B515" t="str">
            <v>Munsa Molinos S.A. de C.V.</v>
          </cell>
          <cell r="C515" t="str">
            <v>Ing. Aaron Osuna</v>
          </cell>
          <cell r="D515" t="str">
            <v>Calle Quetzal# 1124 Col. Morelos, C.P. 44910 Guadalajara, Jalisco</v>
          </cell>
        </row>
        <row r="516">
          <cell r="A516">
            <v>541</v>
          </cell>
          <cell r="B516" t="str">
            <v>Proteinas Esenciales El Salto S.A De C.V.</v>
          </cell>
          <cell r="D516" t="str">
            <v>Km. 4.5, Carretera Alameda- La Capilla 2425.</v>
          </cell>
        </row>
        <row r="517">
          <cell r="A517">
            <v>542</v>
          </cell>
          <cell r="B517" t="str">
            <v>Automotores Flova S.A. de C.V.</v>
          </cell>
          <cell r="C517" t="str">
            <v>Juan Carlos H.</v>
          </cell>
          <cell r="D517" t="str">
            <v>Blvd. Miguel de Madrid #1104, Col. Salagua Manzanillo Colima.</v>
          </cell>
        </row>
        <row r="518">
          <cell r="A518">
            <v>543</v>
          </cell>
          <cell r="B518" t="str">
            <v>Biodesarrollos Valmex S.A. de C.V.</v>
          </cell>
          <cell r="C518" t="str">
            <v>Luis Melendez.</v>
          </cell>
          <cell r="D518" t="str">
            <v>Circuito de Crisantemos N° 10 Col. Santa Cruz De Las Flores, C.P. 45640,Tlajomulco de Zuñiga Jalisco.</v>
          </cell>
        </row>
        <row r="519">
          <cell r="A519">
            <v>544</v>
          </cell>
          <cell r="B519" t="str">
            <v>General Brands Manufacturas México S de R.L. de C.V.</v>
          </cell>
          <cell r="D519" t="str">
            <v>Parque Industrial, Mazatlan #5121, Mazatlan.</v>
          </cell>
        </row>
        <row r="520">
          <cell r="A520">
            <v>545</v>
          </cell>
          <cell r="B520" t="str">
            <v>Editel Negocios Comerciales S.A de C.V.</v>
          </cell>
          <cell r="C520" t="str">
            <v>Juan Manuel Fregoso Ramos.</v>
          </cell>
          <cell r="D520" t="str">
            <v>Francisco Rojas Gonzalez #541-A, Col. Ladrón de Guevara.</v>
          </cell>
        </row>
        <row r="521">
          <cell r="A521">
            <v>546</v>
          </cell>
          <cell r="B521" t="str">
            <v>Popul Auto de Mazatlan S.A.de C.V.</v>
          </cell>
          <cell r="C521" t="str">
            <v>Genesis Licona.</v>
          </cell>
          <cell r="D521" t="str">
            <v>Av. Reforma #2013, Col. Flamingos, C.P.82149, Mazatlan, Sinaloa.</v>
          </cell>
        </row>
        <row r="522">
          <cell r="A522">
            <v>547</v>
          </cell>
          <cell r="B522" t="str">
            <v>Automotores Flova S.A. de C.V.</v>
          </cell>
          <cell r="C522" t="str">
            <v>José Luis Granados Gonzalez.</v>
          </cell>
          <cell r="D522" t="str">
            <v>Blvrd Riviera Nayarit KM. 6.5, Villa Las Flores, 63732 Puerto Vallarta, Nay.</v>
          </cell>
        </row>
        <row r="523">
          <cell r="A523">
            <v>548</v>
          </cell>
          <cell r="B523" t="str">
            <v>Cirugia plastica siglo XXI.</v>
          </cell>
          <cell r="C523" t="str">
            <v>ING. Pablo Cruz</v>
          </cell>
          <cell r="D523" t="str">
            <v>Verona # 7412, Zapopan, Jalisco, C.P. 45019.</v>
          </cell>
        </row>
        <row r="524">
          <cell r="A524">
            <v>549</v>
          </cell>
          <cell r="B524" t="str">
            <v>Automotores Flova S.A. de C.V.</v>
          </cell>
          <cell r="C524" t="str">
            <v>Omar Camacho</v>
          </cell>
          <cell r="D524" t="str">
            <v>Blvd. Fco. Medina Ascencio km 6.5, Col. Villas las Flores, Puerto Vallarta.</v>
          </cell>
        </row>
        <row r="525">
          <cell r="A525">
            <v>550</v>
          </cell>
          <cell r="B525" t="str">
            <v>Grupo Industrial Conplasa S.A. de C.V.</v>
          </cell>
          <cell r="D525" t="str">
            <v>20 de Noviembre 1604, Morelos, 20140 Aguascalientes, Ags.</v>
          </cell>
        </row>
        <row r="526">
          <cell r="A526">
            <v>551</v>
          </cell>
          <cell r="B526" t="str">
            <v>Servicios Metrologicos Mundiales S.A. De C.V.</v>
          </cell>
          <cell r="C526" t="str">
            <v>Ing. Miguel Felipe Ordaz Higareda.</v>
          </cell>
          <cell r="D526" t="str">
            <v>Islas Virgenes # 2117 Col. Jardines De La Cruz  Guadalajara Jal. C.P. 44950.</v>
          </cell>
        </row>
        <row r="527">
          <cell r="A527">
            <v>552</v>
          </cell>
          <cell r="B527" t="str">
            <v>Kotobukiya Treves de México S.A. de C.V.</v>
          </cell>
          <cell r="C527" t="str">
            <v>Efrain Tobias.</v>
          </cell>
          <cell r="D527" t="str">
            <v>Av. San Francisco de los Romo 405-A, Parque Industrial San Francisco, Sna Francisco de los Romo Ags. C.P. 20300.</v>
          </cell>
        </row>
        <row r="528">
          <cell r="A528">
            <v>553</v>
          </cell>
          <cell r="B528" t="str">
            <v>Medica de Occidente S.A. de C.V.</v>
          </cell>
          <cell r="C528" t="str">
            <v>Ing. Oscar Vergara.</v>
          </cell>
          <cell r="D528" t="str">
            <v>Valle de la Sena #1827, Col. Jardines del Valle, Zapopan, Jalisco.</v>
          </cell>
        </row>
        <row r="529">
          <cell r="A529">
            <v>554</v>
          </cell>
          <cell r="B529" t="str">
            <v>Automotriz Celaya S.A. De C.V.</v>
          </cell>
          <cell r="C529" t="str">
            <v>Ing. Federico Cardenas.</v>
          </cell>
          <cell r="D529" t="str">
            <v>Blvd. Adolfo López Mateos #1515, Poniente Renacimiento, Celaya, Guanajuato, México, C.P.38040</v>
          </cell>
        </row>
        <row r="530">
          <cell r="A530">
            <v>555</v>
          </cell>
          <cell r="B530" t="str">
            <v>PERSONNA INTERNATIONAL DE MEXICO, S.A. de C.V</v>
          </cell>
          <cell r="C530" t="str">
            <v xml:space="preserve">Ing. Izamar Baeza </v>
          </cell>
          <cell r="D530" t="str">
            <v>Av. Tejocotes No. 125, Col. Fracc. Industrial San Martín Obispo  Cuautitlán,Izcalli,54769,Estado de México</v>
          </cell>
        </row>
        <row r="531">
          <cell r="A531">
            <v>556</v>
          </cell>
          <cell r="B531" t="str">
            <v>TESLA PRUEBAS ELECTRICAS E INGENIERIA SA DE CV.</v>
          </cell>
          <cell r="C531" t="str">
            <v>Aura Garcia.</v>
          </cell>
          <cell r="D531" t="str">
            <v>Quetzal No. 1124, Col. Morelos, Guadalajara, Jalisco,México, C.P. 44910.</v>
          </cell>
        </row>
        <row r="532">
          <cell r="A532">
            <v>557</v>
          </cell>
          <cell r="B532" t="str">
            <v>Bienestar empresarial.</v>
          </cell>
          <cell r="C532" t="str">
            <v>Ernesto Jimenez</v>
          </cell>
          <cell r="D532" t="str">
            <v>Lapizlazuli # 2904, Residencial Victoria, C.P.44560, Guadalajara, Jalisco.</v>
          </cell>
        </row>
        <row r="533">
          <cell r="A533">
            <v>558</v>
          </cell>
          <cell r="B533" t="str">
            <v xml:space="preserve">DISTRIBUIDORA VOLKSWAGEN DEL CENTRO S.A. DE C.V. </v>
          </cell>
          <cell r="C533" t="str">
            <v>Eduardo Medina</v>
          </cell>
          <cell r="D533" t="str">
            <v>Blvd. José Maria Chavez 1321, Jardindes de la Asunción, C.P.20270, Aguascalientes, México</v>
          </cell>
        </row>
        <row r="534">
          <cell r="A534">
            <v>559</v>
          </cell>
          <cell r="B534" t="str">
            <v>Galber S.A. de C.V.</v>
          </cell>
          <cell r="C534" t="str">
            <v>Emmanuel Cruz.</v>
          </cell>
          <cell r="D534" t="str">
            <v>Calle 2 #2711, Guadalajara Jalisco.</v>
          </cell>
        </row>
        <row r="535">
          <cell r="A535">
            <v>560</v>
          </cell>
          <cell r="B535" t="str">
            <v>BIMBO S.A. DE C.V.</v>
          </cell>
          <cell r="C535" t="str">
            <v>Daniel Cuervo Cuervo.</v>
          </cell>
          <cell r="D535" t="str">
            <v>Calle Eugenio Cuzin #929, Parque Insdustrial, Belenes Norte, C.P.45130.</v>
          </cell>
        </row>
        <row r="536">
          <cell r="A536">
            <v>561</v>
          </cell>
          <cell r="B536" t="str">
            <v>Bussmann, S. de RL CV.</v>
          </cell>
          <cell r="C536" t="str">
            <v>Ing. Miguel Salcedo Conde.</v>
          </cell>
          <cell r="D536" t="str">
            <v>Av. Cerrada la Estacada # 451,Queretaro, QRO, C.P.76220</v>
          </cell>
        </row>
        <row r="537">
          <cell r="A537">
            <v>562</v>
          </cell>
          <cell r="B537" t="str">
            <v>Agi Shorewood México S. de R.L.de C.V.</v>
          </cell>
          <cell r="D537" t="str">
            <v>Circuito AguascalientesSur No.118, Parque Industrial PIVA, C.P. 20358, Valle de Aguascalientes.</v>
          </cell>
        </row>
        <row r="538">
          <cell r="A538">
            <v>563</v>
          </cell>
          <cell r="B538" t="str">
            <v>Sicar S.A de C.V.</v>
          </cell>
          <cell r="D538" t="str">
            <v>Carretera Amozac-Nautla km 61.5, Tres Encinos, #93642, Martinez de la Torre, Veracruz.</v>
          </cell>
        </row>
        <row r="539">
          <cell r="A539">
            <v>564</v>
          </cell>
          <cell r="B539" t="str">
            <v>Grupo Industrial Conplasa S.A. de C.V.</v>
          </cell>
          <cell r="C539" t="str">
            <v>Reina Luna.</v>
          </cell>
          <cell r="D539" t="str">
            <v>20 de Noviembre #1604, Aguascalientes, Aguascalientes.</v>
          </cell>
        </row>
        <row r="540">
          <cell r="A540">
            <v>565</v>
          </cell>
          <cell r="B540" t="str">
            <v>Magna Powertrain.</v>
          </cell>
        </row>
        <row r="541">
          <cell r="A541">
            <v>566</v>
          </cell>
          <cell r="B541" t="str">
            <v>Emerson Climate Tecnologies México.</v>
          </cell>
          <cell r="C541" t="str">
            <v>Ing. Luis Alejandro Ramos.</v>
          </cell>
          <cell r="D541" t="str">
            <v>Circ. Tomas Limón Gutierrez #3270, Col. Hireguillas 1ra. Sección C.P. 44470.</v>
          </cell>
        </row>
        <row r="542">
          <cell r="A542">
            <v>567</v>
          </cell>
          <cell r="B542" t="str">
            <v>Ingenio Tamazula S.A. de C.V.</v>
          </cell>
          <cell r="D542" t="str">
            <v>Ramón Corona No. 1128 Col. Centro Tamazula.</v>
          </cell>
        </row>
        <row r="543">
          <cell r="A543">
            <v>568</v>
          </cell>
          <cell r="B543" t="str">
            <v>Grupo Porcicola Mexicano S.A. de C.V.</v>
          </cell>
          <cell r="C543" t="str">
            <v>Jesus Misael Herrera Aguilar</v>
          </cell>
          <cell r="D543" t="str">
            <v>Calle 27 500B, Itzimná, 97100 Mérida, Yuc.</v>
          </cell>
        </row>
        <row r="544">
          <cell r="A544">
            <v>569</v>
          </cell>
          <cell r="B544" t="str">
            <v>Ambiderm S.A. de C.V.</v>
          </cell>
          <cell r="C544" t="str">
            <v>Prisila Geraldo</v>
          </cell>
          <cell r="D544" t="str">
            <v>Carr. A Bosques de San Isidro #1136, Col. Bosques de San Isidro, C.P.45147, Zapopan Jal.</v>
          </cell>
        </row>
        <row r="545">
          <cell r="A545">
            <v>570</v>
          </cell>
          <cell r="B545" t="str">
            <v>Comercializadora Mas Harina</v>
          </cell>
          <cell r="C545" t="str">
            <v>Daniel Guerrero</v>
          </cell>
          <cell r="D545" t="str">
            <v>Calle dia 2750, Col Jardines del Bosque, C.P. 44520, Guadalajara Jal.</v>
          </cell>
        </row>
        <row r="546">
          <cell r="A546">
            <v>571</v>
          </cell>
          <cell r="B546" t="str">
            <v>Diprocat S.A. de C.V.</v>
          </cell>
          <cell r="C546" t="str">
            <v>Francisco Perez</v>
          </cell>
          <cell r="D546" t="str">
            <v xml:space="preserve"> Francisco Javier Mina #207, Col Centro, C.P. 62660, Puente de Ixtla Morelos, México</v>
          </cell>
        </row>
        <row r="547">
          <cell r="A547">
            <v>572</v>
          </cell>
          <cell r="B547" t="str">
            <v>Top Health S.A.P.I. de C.V.</v>
          </cell>
          <cell r="C547" t="str">
            <v>Aldo Santillan</v>
          </cell>
          <cell r="D547" t="str">
            <v>C. Volcán de Colima #49, Col. El Colli Urbano, C.P.45070, Zapopan, Jal.</v>
          </cell>
        </row>
        <row r="548">
          <cell r="A548">
            <v>573</v>
          </cell>
          <cell r="B548" t="str">
            <v>Instituto Nacional De Cancerologia</v>
          </cell>
          <cell r="C548" t="str">
            <v>Guadalupe Gutierrez</v>
          </cell>
          <cell r="D548" t="str">
            <v xml:space="preserve">Av. San Fernando No. 22, Col. Seccion XVI, Alcaldia, Tlalpan C.P. 14080 </v>
          </cell>
        </row>
        <row r="549">
          <cell r="A549">
            <v>574</v>
          </cell>
          <cell r="B549" t="str">
            <v>Euro Alemana Americas.</v>
          </cell>
          <cell r="C549" t="str">
            <v>Rodrigo Brambila</v>
          </cell>
          <cell r="D549" t="str">
            <v>Av. de las Américas 505, Ladrón de Guevara, Ladron De Guevara, 44650 Guadalajara,</v>
          </cell>
        </row>
        <row r="550">
          <cell r="A550">
            <v>575</v>
          </cell>
          <cell r="B550" t="str">
            <v>Laboratorios Zeyco S.A. De C.V.</v>
          </cell>
          <cell r="C550" t="str">
            <v>Saul Candelas</v>
          </cell>
          <cell r="D550" t="str">
            <v>Camino a Sta. Ana Tepetitlán 2230, Santa Ana Tepetitlán, 45230 Zapopan, Jal.</v>
          </cell>
        </row>
        <row r="551">
          <cell r="A551">
            <v>578</v>
          </cell>
          <cell r="B551" t="str">
            <v>FIRE AND SAFETY SPECIALISTS LATIN AMERICA S DE RL DE CV</v>
          </cell>
          <cell r="C551" t="str">
            <v>CARLOS CAZARES CASTELLANOS</v>
          </cell>
          <cell r="D551" t="str">
            <v>CALLE 38 # 304, COL. CD DEL CARMEN, CAMPECHE C.P. 24115</v>
          </cell>
        </row>
        <row r="552">
          <cell r="A552">
            <v>579</v>
          </cell>
          <cell r="B552" t="str">
            <v>Aeropuertos y Servicios Auxiliares</v>
          </cell>
          <cell r="C552" t="str">
            <v>Salvador Medina</v>
          </cell>
          <cell r="D552" t="str">
            <v>Av. 602, No. 161 Zona Federal Aeropuerto Internacional</v>
          </cell>
        </row>
        <row r="553">
          <cell r="A553">
            <v>580</v>
          </cell>
          <cell r="B553" t="str">
            <v>FGR Proyectos Integrales e Industriales S.A. de C.V.</v>
          </cell>
          <cell r="C553" t="str">
            <v>Herson Rodriguez</v>
          </cell>
          <cell r="D553" t="str">
            <v>Colinas de San Jose # 3, Colinas de Santa Cruz, C.P.76117, Queretaro Queretaro</v>
          </cell>
        </row>
        <row r="554">
          <cell r="A554">
            <v>581</v>
          </cell>
          <cell r="B554" t="str">
            <v>Uriel Mata Sanchez</v>
          </cell>
          <cell r="D554" t="str">
            <v>Ixtapan MZ 184, Lt. 14, Valle de los Reyes, La Paz Mex. C.P. 56430</v>
          </cell>
        </row>
        <row r="555">
          <cell r="A555">
            <v>582</v>
          </cell>
          <cell r="B555" t="str">
            <v>Soluciones Constructivas Importadas S.A. de C.V.</v>
          </cell>
          <cell r="C555" t="str">
            <v>Ing. Victor Coronado Gomez</v>
          </cell>
          <cell r="D555" t="str">
            <v>Av. Primavera 3955 Int. 222 Parques del Bosque, San Pedro Tlaquepaque, Jalisco</v>
          </cell>
        </row>
        <row r="556">
          <cell r="A556">
            <v>583</v>
          </cell>
          <cell r="B556" t="str">
            <v>Distribuidora de Alimentos Nuve</v>
          </cell>
          <cell r="C556" t="str">
            <v>Consuelo Ruelas</v>
          </cell>
          <cell r="D556" t="str">
            <v>Jose Maria Morelos 200</v>
          </cell>
        </row>
        <row r="557">
          <cell r="A557">
            <v>584</v>
          </cell>
          <cell r="B557" t="str">
            <v>Lactocondense S.A. de C.V.</v>
          </cell>
          <cell r="C557" t="str">
            <v>Daniel Navaro</v>
          </cell>
          <cell r="D557" t="str">
            <v>Degollado # 219, Capilla de Guadalupe C.P. 47400, Jalisco</v>
          </cell>
        </row>
        <row r="558">
          <cell r="A558">
            <v>585</v>
          </cell>
          <cell r="B558" t="str">
            <v>Adler Pharma S. de R.L. de C.V.</v>
          </cell>
          <cell r="C558" t="str">
            <v>Hector Manuel Gaona Rodriguez</v>
          </cell>
          <cell r="D558" t="str">
            <v xml:space="preserve">Prol. Miguel Alemán 6926 Francisco Sarabia, 45236 Zapopan, JAL </v>
          </cell>
        </row>
        <row r="559">
          <cell r="A559">
            <v>586</v>
          </cell>
          <cell r="B559" t="str">
            <v>Productos Selectos de Agave</v>
          </cell>
          <cell r="C559" t="str">
            <v>Luz Elena Eulloqui</v>
          </cell>
          <cell r="D559" t="str">
            <v>Ca. Tequila 1910, Col. Cuahutemoc, Jiquilpan Michoacan</v>
          </cell>
        </row>
        <row r="560">
          <cell r="A560">
            <v>587</v>
          </cell>
          <cell r="B560" t="str">
            <v xml:space="preserve">C&amp;G LABORATORIOS S.A. DE C.V. </v>
          </cell>
          <cell r="C560" t="str">
            <v>Miriam Rubio Huacuz</v>
          </cell>
          <cell r="D560" t="str">
            <v>CALLE BENITO JUAREZ #2 COL. REFORMA SAN MATEO ATENCO , EDO. DE MEXICO C.P. 52100</v>
          </cell>
        </row>
        <row r="561">
          <cell r="A561">
            <v>588</v>
          </cell>
          <cell r="B561" t="str">
            <v>Berry pack</v>
          </cell>
          <cell r="C561" t="str">
            <v>Jaime Madrigal</v>
          </cell>
          <cell r="D561" t="str">
            <v>Carr. Tancitaro Copetiro km. 2.0 Tancitaro Michoacan</v>
          </cell>
        </row>
        <row r="562">
          <cell r="A562">
            <v>589</v>
          </cell>
          <cell r="B562" t="str">
            <v>Honda de México S.A. de C.V.</v>
          </cell>
          <cell r="C562" t="str">
            <v>Jorge Jimenez</v>
          </cell>
          <cell r="D562" t="str">
            <v>Carretera  Libramiento sur km 6, Col. La Luz, C.P. 38140, Celaya, Guanajuato.</v>
          </cell>
        </row>
        <row r="563">
          <cell r="A563">
            <v>590</v>
          </cell>
          <cell r="B563" t="str">
            <v>Consultores, Servicios y Mantenimiento Ameasys</v>
          </cell>
          <cell r="C563" t="str">
            <v>Guillermo Garcilazo</v>
          </cell>
          <cell r="D563" t="str">
            <v>Juan Escutia, Manzana G, Lote 4, Edificio E, dep. 402, Infonavit Niños Heroes, C.P. 54763, Cuautitlan Iizcalli, Mexico</v>
          </cell>
        </row>
        <row r="564">
          <cell r="A564">
            <v>591</v>
          </cell>
          <cell r="B564" t="str">
            <v>Nissan Chapalita</v>
          </cell>
          <cell r="C564" t="str">
            <v>Jose Guadalupe Lozano</v>
          </cell>
          <cell r="D564" t="str">
            <v>Av. Lopez Mateos #1460, Col. Chapalita</v>
          </cell>
        </row>
        <row r="565">
          <cell r="A565">
            <v>592</v>
          </cell>
          <cell r="B565" t="str">
            <v>Universidad de Guadalajara</v>
          </cell>
          <cell r="C565" t="str">
            <v>Dra. Jessica Badillo</v>
          </cell>
          <cell r="D565" t="str">
            <v>Carretera Nogales km 15.5 SP 5293, C.P. 45020, Las agujas, Zapopan Jal</v>
          </cell>
        </row>
        <row r="566">
          <cell r="A566">
            <v>593</v>
          </cell>
          <cell r="B566" t="str">
            <v>Casa Tradición  S.A De C.V.</v>
          </cell>
          <cell r="C566" t="str">
            <v>Alejandro Murillo</v>
          </cell>
          <cell r="D566" t="str">
            <v>Carretera Ocotlán-Tototlán KM 14.7 San Martin de Zula 47780 Ocotlán, Jalisco.</v>
          </cell>
        </row>
        <row r="567">
          <cell r="A567">
            <v>594</v>
          </cell>
          <cell r="B567" t="str">
            <v>Casa Tradición  S.A De C.V.</v>
          </cell>
          <cell r="C567" t="str">
            <v>Alma Cass</v>
          </cell>
          <cell r="D567" t="str">
            <v>Clase Azul Hacienda</v>
          </cell>
        </row>
        <row r="568">
          <cell r="A568">
            <v>595</v>
          </cell>
          <cell r="B568" t="str">
            <v>Gloria León Murillo</v>
          </cell>
          <cell r="C568" t="str">
            <v>Gloria León Murillo</v>
          </cell>
          <cell r="D568" t="str">
            <v xml:space="preserve">Francisco Javier Mina 757, Col. belisario Dominguez, 44320, guadalajara, jalisco. </v>
          </cell>
        </row>
        <row r="569">
          <cell r="A569">
            <v>596</v>
          </cell>
          <cell r="B569" t="str">
            <v>Eaton Industries S de RL de CV</v>
          </cell>
          <cell r="D569" t="str">
            <v>Av. Santa Rosalia 9707, Parque industrial Pacifico, C.P. 22643, Tijuana Baja California</v>
          </cell>
        </row>
        <row r="570">
          <cell r="A570">
            <v>596</v>
          </cell>
          <cell r="B570" t="str">
            <v>Cremeria Americana SAPI de C.V.</v>
          </cell>
          <cell r="C570" t="str">
            <v>Marco Cholico</v>
          </cell>
          <cell r="D570" t="str">
            <v>Luis Enrique Williams 839, Belenes Nte., 45150 Zapopan, Jal.</v>
          </cell>
        </row>
        <row r="571">
          <cell r="A571">
            <v>597</v>
          </cell>
          <cell r="B571" t="str">
            <v>Dulimex S.A. de C.V.</v>
          </cell>
          <cell r="C571" t="str">
            <v>Miriam Castellanos</v>
          </cell>
          <cell r="D571" t="str">
            <v>Calle Guadalajara # 129 B, Parque Industrial</v>
          </cell>
        </row>
        <row r="572">
          <cell r="A572">
            <v>598</v>
          </cell>
          <cell r="B572" t="str">
            <v>Hellerman Tytan S.A. de C.V.</v>
          </cell>
          <cell r="D572" t="str">
            <v>Anillo Periferico Sur No. 7980, Edificio 6 Colonia Santa Maria Tequepexpan</v>
          </cell>
        </row>
        <row r="573">
          <cell r="A573">
            <v>599</v>
          </cell>
          <cell r="B573" t="str">
            <v>Laboratorios PH&amp;S de Mexico S.A. de C.V.</v>
          </cell>
          <cell r="C573" t="str">
            <v>Carlos Ganem</v>
          </cell>
        </row>
        <row r="574">
          <cell r="A574">
            <v>600</v>
          </cell>
          <cell r="B574" t="str">
            <v>Impulsora Industrial de Refrigeración</v>
          </cell>
          <cell r="C574" t="str">
            <v>Noemí Rubí</v>
          </cell>
          <cell r="D574" t="str">
            <v>Carretera Tesistan 8837, C.P.45200, Zapopan Jalisco</v>
          </cell>
        </row>
        <row r="575">
          <cell r="A575">
            <v>601</v>
          </cell>
          <cell r="B575" t="str">
            <v>ADS Construccion y Mantenimiento Industrial</v>
          </cell>
          <cell r="C575" t="str">
            <v>Ing. Arnulfo Dominguez Santiago</v>
          </cell>
          <cell r="D575" t="str">
            <v>Calle Ramon Guzman 1023, Col. Sochiloa, C.P. 85150, Obregon Sonora</v>
          </cell>
        </row>
        <row r="576">
          <cell r="A576">
            <v>602</v>
          </cell>
          <cell r="B576" t="str">
            <v>PACE INDUSTRIES DE CHIHUAHUA II, S.A. DE C.V.</v>
          </cell>
          <cell r="C576" t="str">
            <v>Ing. Jorge de la Torre</v>
          </cell>
          <cell r="D576" t="str">
            <v>Ave. Alejandro Dumas #11326, Complejo Industrial Chihuahua, Chihuahua, CHIH. 31136 México</v>
          </cell>
        </row>
        <row r="577">
          <cell r="A577">
            <v>603</v>
          </cell>
          <cell r="B577" t="str">
            <v>Distribuidora textil Arttex S.A. de C.V.</v>
          </cell>
          <cell r="C577" t="str">
            <v xml:space="preserve">Rafael Muñoz </v>
          </cell>
          <cell r="D577" t="str">
            <v>Carretera Huehuetoca - Jorobas Km. 3.5 No. 95, Jorobas, 54680 Huehuetoca, Méx.</v>
          </cell>
        </row>
        <row r="578">
          <cell r="A578">
            <v>604</v>
          </cell>
          <cell r="B578" t="str">
            <v>Corporativo OB Industrial S.A. de C.V.</v>
          </cell>
          <cell r="C578" t="str">
            <v>Erika Guerrero</v>
          </cell>
          <cell r="D578" t="str">
            <v>Villa Juarez #123, Col. Francisco Sarabia, C.P. 45236, Zapopan Jal.</v>
          </cell>
        </row>
        <row r="579">
          <cell r="A579">
            <v>605</v>
          </cell>
          <cell r="B579" t="str">
            <v>Solomed S.A. de C.V.</v>
          </cell>
          <cell r="C579" t="str">
            <v>Ing.Moises Quiroz</v>
          </cell>
          <cell r="D579" t="str">
            <v>Av. Periferico pte. Manuel Gomez Morin 4360, Ciudad Granja, C.P. 45019 Zapopan Jal.</v>
          </cell>
        </row>
        <row r="580">
          <cell r="A580">
            <v>606</v>
          </cell>
          <cell r="B580" t="str">
            <v>Cuper Biosciences, S. de R.L. de C.V.</v>
          </cell>
          <cell r="C580" t="str">
            <v>Martha Roa</v>
          </cell>
          <cell r="D580" t="str">
            <v>Renato Leduc 122, Col. Torriello Guerra Delg. Tlalpan, CP. 14050, Mexico DF</v>
          </cell>
        </row>
        <row r="581">
          <cell r="A581">
            <v>607</v>
          </cell>
          <cell r="B581" t="str">
            <v>Hidra Quim S.A. de C.V.</v>
          </cell>
          <cell r="C581" t="str">
            <v>Saul Alejandro Ugalde Valdez</v>
          </cell>
          <cell r="D581" t="str">
            <v>Rio Verde # 487, Loma BonitaEjidal, Tlaquepaque Jal.</v>
          </cell>
        </row>
        <row r="582">
          <cell r="A582">
            <v>608</v>
          </cell>
          <cell r="B582" t="str">
            <v>JH Ingenieria Electrica</v>
          </cell>
          <cell r="C582" t="str">
            <v>Jesus Enrique Herrera</v>
          </cell>
          <cell r="D582" t="str">
            <v>Parques del Centinela 777 int. 44,Col. Parques del Centinela, C.P. 45135, Zapopan Jal.</v>
          </cell>
        </row>
        <row r="583">
          <cell r="A583">
            <v>609</v>
          </cell>
          <cell r="B583" t="str">
            <v>Suministros Especializados de Medicamentos</v>
          </cell>
          <cell r="C583" t="str">
            <v>Mirna Salcedo</v>
          </cell>
          <cell r="D583" t="str">
            <v>Calzada Club Atlas Norte No. 535 Int. 20 Talquepaque Jalisco</v>
          </cell>
        </row>
        <row r="584">
          <cell r="A584">
            <v>610</v>
          </cell>
          <cell r="B584" t="str">
            <v>Arnulfo Dominguez Santiago</v>
          </cell>
          <cell r="D584" t="str">
            <v>Carretera Libre Tuxpan Cazones km 4 Chacoaco, C.P. 92773, Tuxpan Veracruz</v>
          </cell>
        </row>
        <row r="585">
          <cell r="A585">
            <v>611</v>
          </cell>
          <cell r="B585" t="str">
            <v>CF Control y Fuerza Trabajos Electromecanicos S.A. de C.V.</v>
          </cell>
          <cell r="C585" t="str">
            <v>Ing. Jonathan Rebollo</v>
          </cell>
          <cell r="D585" t="str">
            <v>Carretera No. 42, Col. Las Carrelas, C.P. 45877,  Ixtlahuacan de los Membrillos, Jalisco</v>
          </cell>
        </row>
        <row r="586">
          <cell r="A586">
            <v>612</v>
          </cell>
          <cell r="B586" t="str">
            <v>Pte Compounding de Mexico S.A. DE C.V.</v>
          </cell>
          <cell r="C586" t="str">
            <v>Ing.Edith Ramirez Glz.</v>
          </cell>
          <cell r="D586" t="str">
            <v xml:space="preserve">Av. Sta Maria # 1050 colinas de los lagos 47515 Lagos De Moreno Jalisco  </v>
          </cell>
        </row>
        <row r="587">
          <cell r="A587">
            <v>613</v>
          </cell>
          <cell r="B587" t="str">
            <v>Corporativo de Occidente S.A. de C.V.</v>
          </cell>
          <cell r="C587" t="str">
            <v>Miguel Ortiz Hernandez</v>
          </cell>
          <cell r="D587" t="str">
            <v>Kilometro 3.5, Carretera el Salto, La Azucena Jalisco, C.P. 45680</v>
          </cell>
        </row>
        <row r="588">
          <cell r="A588">
            <v>614</v>
          </cell>
          <cell r="B588" t="str">
            <v>Campari Grup</v>
          </cell>
          <cell r="C588" t="str">
            <v>Ing. Ricardo Mario Vazquez Zuñiga</v>
          </cell>
          <cell r="D588" t="str">
            <v>Camino Real Atotonilco No. 1081, Arandas Jal.</v>
          </cell>
        </row>
        <row r="589">
          <cell r="A589">
            <v>615</v>
          </cell>
          <cell r="B589" t="str">
            <v>Novonafar S.A. de C.V.</v>
          </cell>
          <cell r="D589" t="str">
            <v>Av. Justo Sierra 933, Agua Blanca Industrial, C.P. 45235, Zapopan Jal.</v>
          </cell>
        </row>
        <row r="590">
          <cell r="A590">
            <v>616</v>
          </cell>
          <cell r="B590" t="str">
            <v>Kpac Mexico S.A. de C.V.</v>
          </cell>
          <cell r="C590" t="str">
            <v>Itzel Mendoza</v>
          </cell>
          <cell r="D590" t="str">
            <v>Av. Aviación 6665-4, San Juan de Ocotán, 45019 Zapopan, Jal.</v>
          </cell>
        </row>
        <row r="591">
          <cell r="A591">
            <v>617</v>
          </cell>
          <cell r="B591" t="str">
            <v>Fluido y Control Industrial</v>
          </cell>
          <cell r="C591" t="str">
            <v>Luis Manuel Garcia</v>
          </cell>
          <cell r="D591" t="str">
            <v>Av. 8 de Julio # 1540-A</v>
          </cell>
        </row>
        <row r="592">
          <cell r="A592">
            <v>618</v>
          </cell>
          <cell r="B592" t="str">
            <v>Philip Morris Mexico</v>
          </cell>
          <cell r="C592" t="str">
            <v>Jose Carlos Sosa</v>
          </cell>
          <cell r="D592" t="str">
            <v>Amado Nervo 1201, Col. Mirador del sol</v>
          </cell>
        </row>
        <row r="593">
          <cell r="A593">
            <v>619</v>
          </cell>
          <cell r="B593" t="str">
            <v>Proface S.A. de C.V.</v>
          </cell>
          <cell r="C593" t="str">
            <v>Diana Chavez</v>
          </cell>
          <cell r="D593" t="str">
            <v>Circuito San Eduardo 399 int. 102-C, San Juan de Ocotan</v>
          </cell>
        </row>
        <row r="594">
          <cell r="A594">
            <v>620</v>
          </cell>
          <cell r="B594" t="str">
            <v>Electric Advance</v>
          </cell>
          <cell r="C594" t="str">
            <v>Octavio Roman</v>
          </cell>
          <cell r="D594" t="str">
            <v>San Francisco #1886, Col. La Palmera, C.P. 45234, Zapopan Jalisco</v>
          </cell>
        </row>
        <row r="595">
          <cell r="A595">
            <v>621</v>
          </cell>
          <cell r="B595" t="str">
            <v>Megaventilacion</v>
          </cell>
          <cell r="D595" t="str">
            <v>San Cristóbal #130, Col. Zoquiapan, C.P. 45170, Zapopan, Jalisco</v>
          </cell>
        </row>
        <row r="596">
          <cell r="A596">
            <v>622</v>
          </cell>
          <cell r="B596" t="str">
            <v>AR ELECTROMEDICA S.A. DE C.V.</v>
          </cell>
          <cell r="C596" t="str">
            <v>Daniel Araiza</v>
          </cell>
          <cell r="D596" t="str">
            <v>Mariano Bárcenas #1327, Col. La Normal C.P. 44260, Guadalajara, Jalisco</v>
          </cell>
        </row>
        <row r="597">
          <cell r="A597">
            <v>623</v>
          </cell>
          <cell r="B597" t="str">
            <v>Carnes Selectas el Cien</v>
          </cell>
          <cell r="C597" t="str">
            <v>Daniel Araiza</v>
          </cell>
          <cell r="D597" t="str">
            <v>Av. Ricardo Flores Magon Huentitan el alto C.P.44390</v>
          </cell>
        </row>
        <row r="598">
          <cell r="A598">
            <v>624</v>
          </cell>
          <cell r="B598" t="str">
            <v xml:space="preserve">Omnilife Manufactura </v>
          </cell>
          <cell r="C598" t="str">
            <v>Jesus Carlos Gonzalez</v>
          </cell>
          <cell r="D598" t="str">
            <v>Carr. A San Martin de las Flores km 2.5 No. 520-1 Col. San Martin de las Flores de Abajo, C.P. 45629, Tlaquepaque Jal.</v>
          </cell>
        </row>
        <row r="599">
          <cell r="A599">
            <v>625</v>
          </cell>
          <cell r="B599" t="str">
            <v>Clase Azul</v>
          </cell>
          <cell r="C599" t="str">
            <v>Juan José Nuño</v>
          </cell>
          <cell r="D599" t="str">
            <v>Carretera Ocotlán-Tototlán KM 14.7 San Martin de Zula 47780 Ocotlán, Jalisco.</v>
          </cell>
        </row>
        <row r="600">
          <cell r="A600">
            <v>626</v>
          </cell>
          <cell r="B600" t="str">
            <v>Grupo Edmaaj Constructora S.A. de C.V.</v>
          </cell>
          <cell r="C600" t="str">
            <v>Ing. Jose Adrian Garcia</v>
          </cell>
          <cell r="D600" t="str">
            <v>San José 17 b Col Fonhapo Buenavista, Atotonilco el Alto, Jalisco. México. C.P. 47750</v>
          </cell>
        </row>
        <row r="601">
          <cell r="A601">
            <v>627</v>
          </cell>
          <cell r="B601" t="str">
            <v>Distribuidora de Equipos Medicos e Industriales de Mexico</v>
          </cell>
          <cell r="C601" t="str">
            <v>Carlos Sanchez</v>
          </cell>
          <cell r="D601" t="str">
            <v>Carretera Leon-Lagos 251 int. Loc 13, C.P. 37669, Leon Guanajuato.</v>
          </cell>
        </row>
        <row r="602">
          <cell r="A602">
            <v>628</v>
          </cell>
          <cell r="B602" t="str">
            <v>Zar-Kruse</v>
          </cell>
          <cell r="C602" t="str">
            <v>Francisco Roberto Hernandez</v>
          </cell>
          <cell r="D602" t="str">
            <v>Carretera Libre Federal a Celaya No. 3807, Hejido Rancho Nuevo GTO.</v>
          </cell>
        </row>
        <row r="603">
          <cell r="A603">
            <v>629</v>
          </cell>
          <cell r="B603" t="str">
            <v>Zar-Kruse</v>
          </cell>
          <cell r="C603" t="str">
            <v>Francisco Roberto Hernandez</v>
          </cell>
          <cell r="D603" t="str">
            <v>Av. Lopez Mateos Sur 18115, Circuito Grualva Poniente No. 125 Santa Cruz de las Flores, Tlajomulco de Zuñiga Jal.</v>
          </cell>
        </row>
        <row r="604">
          <cell r="A604">
            <v>630</v>
          </cell>
          <cell r="B604" t="str">
            <v>ITW Automotive</v>
          </cell>
          <cell r="C604" t="str">
            <v>Ing. Marco Vazquez</v>
          </cell>
          <cell r="D604" t="str">
            <v>C. 17 3820, Morelos Ampliacion, 25010 Saltillo. Coah</v>
          </cell>
        </row>
        <row r="605">
          <cell r="A605">
            <v>631</v>
          </cell>
          <cell r="B605" t="str">
            <v>Instalaciones Electromecanicas Industriales</v>
          </cell>
          <cell r="C605" t="str">
            <v>Karla Godines</v>
          </cell>
          <cell r="D605" t="str">
            <v>San Luis Rey # 537, Fracc. El Milagro</v>
          </cell>
        </row>
        <row r="606">
          <cell r="A606">
            <v>632</v>
          </cell>
          <cell r="B606" t="str">
            <v>Industrial Development, Control and Instruments</v>
          </cell>
          <cell r="C606" t="str">
            <v>Dionisio Casillas</v>
          </cell>
          <cell r="D606" t="str">
            <v>Calz. del Federalismo Sur 428, Col Americana, Americana, 44160 Guadalajara, Jal.</v>
          </cell>
        </row>
        <row r="607">
          <cell r="A607">
            <v>633</v>
          </cell>
          <cell r="B607" t="str">
            <v>Proyectos Nacionales de Metal</v>
          </cell>
          <cell r="C607" t="str">
            <v>Marco Martinez</v>
          </cell>
          <cell r="D607" t="str">
            <v>Quintas Tenistlan 3 Col. Barrio San Mateo Xoloc, 54600, Tepotzotlan, Mexico</v>
          </cell>
        </row>
        <row r="608">
          <cell r="A608">
            <v>634</v>
          </cell>
          <cell r="B608" t="str">
            <v>Postes y Precolados Industriales</v>
          </cell>
          <cell r="C608" t="str">
            <v>Diego Rivas</v>
          </cell>
          <cell r="D608" t="str">
            <v>Morelos 1105 Mega Parque Industrial, Zacatecas</v>
          </cell>
        </row>
        <row r="609">
          <cell r="A609">
            <v>635</v>
          </cell>
          <cell r="B609" t="str">
            <v>Universidad de Guadalajara</v>
          </cell>
          <cell r="C609" t="str">
            <v>Dr. Ángel Jiménez</v>
          </cell>
          <cell r="D609" t="str">
            <v>Av. Universidad 1115 Col. Lindavista, C.P. 47810, Ocotlán, Jalisco</v>
          </cell>
        </row>
        <row r="610">
          <cell r="A610">
            <v>636</v>
          </cell>
          <cell r="B610" t="str">
            <v>Live Natura</v>
          </cell>
          <cell r="C610" t="str">
            <v>Citlalli Padilla Ruiz</v>
          </cell>
          <cell r="D610" t="str">
            <v>Calle Cesar #69, Col. Vallarta Norte, C.P. 44690, Guadalajara, Jalisco</v>
          </cell>
        </row>
        <row r="611">
          <cell r="A611">
            <v>637</v>
          </cell>
          <cell r="B611" t="str">
            <v>Berry pack</v>
          </cell>
          <cell r="C611" t="str">
            <v>Fernanda Guzman</v>
          </cell>
          <cell r="D611" t="str">
            <v>Mezquite #18, Morelia, Michoacan</v>
          </cell>
        </row>
        <row r="612">
          <cell r="A612">
            <v>638</v>
          </cell>
          <cell r="B612" t="str">
            <v>Laboratorios Dibar</v>
          </cell>
          <cell r="C612" t="str">
            <v>Jose Luis Robles</v>
          </cell>
          <cell r="D612" t="str">
            <v>Carretera Mil Cumbres Km 13 Jaripeo Charo, Morelia, Michoacan</v>
          </cell>
        </row>
        <row r="613">
          <cell r="A613">
            <v>639</v>
          </cell>
          <cell r="B613" t="str">
            <v>Laboratorios Dibar</v>
          </cell>
          <cell r="C613" t="str">
            <v>Juan</v>
          </cell>
          <cell r="D613" t="str">
            <v>Calle Cedro #200, Morelia, Michoacan</v>
          </cell>
        </row>
        <row r="614">
          <cell r="A614">
            <v>640</v>
          </cell>
          <cell r="B614" t="str">
            <v>Hospital Santa Margarita</v>
          </cell>
          <cell r="C614" t="str">
            <v>Maria del Rosario Valadez</v>
          </cell>
          <cell r="D614" t="str">
            <v>Calle Garibaldi #880, Col Capilla de Jesus C.P.44200, Guadalajara, Jalisco</v>
          </cell>
        </row>
        <row r="615">
          <cell r="A615">
            <v>641</v>
          </cell>
          <cell r="B615" t="str">
            <v>Comercializadora de Embutidos S.A. de C.V.</v>
          </cell>
          <cell r="C615" t="str">
            <v>Leonardo Aguilar Lerma</v>
          </cell>
          <cell r="D615" t="str">
            <v xml:space="preserve">Calle Guinea # 110, Col. Tetlan, C.P. 44820, Guadalajara Jal. </v>
          </cell>
        </row>
        <row r="616">
          <cell r="A616">
            <v>642</v>
          </cell>
          <cell r="B616" t="str">
            <v>SISC Comedores</v>
          </cell>
          <cell r="C616" t="str">
            <v>Rocio Gonzalez</v>
          </cell>
          <cell r="D616" t="str">
            <v>Mariano Otero #2509, Col. Del Fresno, C.P.44909, Guadalajara, Jalisco</v>
          </cell>
        </row>
        <row r="617">
          <cell r="A617">
            <v>643</v>
          </cell>
          <cell r="B617" t="str">
            <v>Molex de Mexico Guadalajara 2 S de RL de CV</v>
          </cell>
          <cell r="C617" t="str">
            <v>Victor Camilo Borden</v>
          </cell>
        </row>
        <row r="618">
          <cell r="A618">
            <v>644</v>
          </cell>
          <cell r="B618" t="str">
            <v>Nacional de Articulos Medicos</v>
          </cell>
          <cell r="C618" t="str">
            <v>Roberto de la Torre</v>
          </cell>
          <cell r="D618" t="str">
            <v>Av. Guadalajara 1 Centro Logistico II, C.P. 45777, Zacoalco de Torres, Jalisco</v>
          </cell>
        </row>
        <row r="619">
          <cell r="A619">
            <v>645</v>
          </cell>
          <cell r="B619" t="str">
            <v>Lindy Pharma</v>
          </cell>
          <cell r="D619" t="str">
            <v>San Esteban #2340 Blanco y Cuellar, Guadalajara, Jalisco</v>
          </cell>
        </row>
        <row r="620">
          <cell r="A620">
            <v>646</v>
          </cell>
          <cell r="B620" t="str">
            <v>ADX Multiservicios</v>
          </cell>
          <cell r="C620" t="str">
            <v>Fredy Rico</v>
          </cell>
          <cell r="D620" t="str">
            <v>Calle San Jose #1210 Los Cajetes, C.P. 45234, Zapopan, Jalisco</v>
          </cell>
        </row>
        <row r="621">
          <cell r="A621">
            <v>647</v>
          </cell>
          <cell r="B621" t="str">
            <v>Selint</v>
          </cell>
          <cell r="D621" t="str">
            <v>Laurel #3096 C.P. 45965, Poncitlan, Jalisco</v>
          </cell>
        </row>
        <row r="622">
          <cell r="A622">
            <v>648</v>
          </cell>
          <cell r="B622" t="str">
            <v>SICAMING Mexico SA de CV</v>
          </cell>
          <cell r="C622" t="str">
            <v>Ing. Fernando Valencia Zepeda</v>
          </cell>
          <cell r="D622" t="str">
            <v>Dr. Gustavo Baz No 317, Col Hipico, C.P. 52156, Metepec, Edo. De Mexico</v>
          </cell>
        </row>
        <row r="623">
          <cell r="A623">
            <v>649</v>
          </cell>
          <cell r="B623" t="str">
            <v>Reprecentacion e Investigaciones Medicas S.A. DE C.V.</v>
          </cell>
          <cell r="C623" t="str">
            <v>IQ. Claudia Ramos</v>
          </cell>
          <cell r="D623" t="str">
            <v>Carretera a Nogales 850, La Venta del Astillero C.P.45220 Zapopan Jalisco</v>
          </cell>
        </row>
        <row r="624">
          <cell r="A624">
            <v>650</v>
          </cell>
          <cell r="B624" t="str">
            <v>Exportaciones Zepeda</v>
          </cell>
          <cell r="C624" t="str">
            <v>Alexis Orta</v>
          </cell>
          <cell r="D624" t="str">
            <v>Prolongacion Guadalupe Victoria #3064, Col Centro, C.P. 48900, Autlán de Navarro, Jalisco.</v>
          </cell>
        </row>
        <row r="625">
          <cell r="A625">
            <v>651</v>
          </cell>
          <cell r="B625" t="str">
            <v>Estadio 3 de Marzo</v>
          </cell>
          <cell r="C625" t="str">
            <v>Jesus Hernandez</v>
          </cell>
          <cell r="D625" t="str">
            <v>Av. Patria 1201, Uag, 45110 Zapopan, Jal.</v>
          </cell>
        </row>
        <row r="626">
          <cell r="A626">
            <v>652</v>
          </cell>
          <cell r="B626" t="str">
            <v>Fiscalía General de la República</v>
          </cell>
          <cell r="C626" t="str">
            <v>José Huerta</v>
          </cell>
          <cell r="D626" t="str">
            <v>Av. 16 de Septiembre #591, Colonia Mexicaltzingo,CP 44180, Guadalajara, Jalisco</v>
          </cell>
        </row>
        <row r="627">
          <cell r="A627">
            <v>653</v>
          </cell>
          <cell r="B627" t="str">
            <v>Compañía Tequilera Hacienda La Capilla</v>
          </cell>
          <cell r="C627" t="str">
            <v>Ing. Gerardo Gómez Cariilo</v>
          </cell>
          <cell r="D627" t="str">
            <v>Calle Hacienda #1, Capilla de Guadalupe, C.P. 47700, Tepatitlán, Jalisco</v>
          </cell>
        </row>
        <row r="628">
          <cell r="A628">
            <v>654</v>
          </cell>
          <cell r="B628" t="str">
            <v>Multiservicio la Calma</v>
          </cell>
          <cell r="D628" t="str">
            <v>Av. La Calma #3486, Col. La Calma, Zapopan, Jalisco.</v>
          </cell>
        </row>
        <row r="629">
          <cell r="A629">
            <v>655</v>
          </cell>
          <cell r="B629" t="str">
            <v xml:space="preserve">Operadora CICSA </v>
          </cell>
          <cell r="C629" t="str">
            <v>Sergio Rojo</v>
          </cell>
          <cell r="D629" t="str">
            <v>Calle 5 #899, Zona Industrial, C.P. 44940, Guadalajara, Jalisco</v>
          </cell>
        </row>
        <row r="630">
          <cell r="A630">
            <v>656</v>
          </cell>
          <cell r="B630" t="str">
            <v>Crisoba Industrial S.A. de C.V.</v>
          </cell>
          <cell r="D630" t="str">
            <v>Av. De las Torres N87, Col. Jajalpa, C.P. 55090, Ecatepec de Morelos</v>
          </cell>
        </row>
        <row r="631">
          <cell r="A631">
            <v>657</v>
          </cell>
          <cell r="B631" t="str">
            <v>Tecnometría S.A. de C.V.</v>
          </cell>
          <cell r="C631" t="str">
            <v>Anabel Arango</v>
          </cell>
          <cell r="D631" t="str">
            <v>De las Cordilleras 58, Col. Residencial Acueducto de Gpe, Gustavo A. Madero CP. 07270</v>
          </cell>
        </row>
        <row r="632">
          <cell r="A632">
            <v>658</v>
          </cell>
          <cell r="B632" t="str">
            <v>GAS NATURAL Y LP INSUMOS S DE RL DE CV.</v>
          </cell>
          <cell r="C632" t="str">
            <v>Yejudi Ehrenzweig</v>
          </cell>
          <cell r="D632" t="str">
            <v>Circuito Arco Sur 102 Int Sn, Lomas Verdes, Xalapa Veracruz de Ignacio de la llave.</v>
          </cell>
        </row>
        <row r="633">
          <cell r="A633">
            <v>659</v>
          </cell>
          <cell r="B633" t="str">
            <v xml:space="preserve">AMD PLASTICS DE MEXICO S DE RL DE CV </v>
          </cell>
          <cell r="C633" t="str">
            <v>Erik Cardona</v>
          </cell>
          <cell r="D633" t="str">
            <v>Acceso s/n carretera loma alta 1001, Presa de las casas, Arteaga Coahuila CP 25386</v>
          </cell>
        </row>
        <row r="634">
          <cell r="A634">
            <v>660</v>
          </cell>
          <cell r="B634" t="str">
            <v>Wolfsburg de Occidente</v>
          </cell>
          <cell r="C634" t="str">
            <v>Zayra Paola Flores García</v>
          </cell>
          <cell r="D634" t="str">
            <v>Av. López Mateos Sur #5706, Guadalajara, Jalisco</v>
          </cell>
        </row>
        <row r="635">
          <cell r="A635">
            <v>661</v>
          </cell>
          <cell r="B635" t="str">
            <v>Industrial Aceitera</v>
          </cell>
          <cell r="C635" t="str">
            <v>Rita Avedaño</v>
          </cell>
          <cell r="D635" t="str">
            <v>Prolongacion Av Hidalgo 152</v>
          </cell>
        </row>
        <row r="636">
          <cell r="A636">
            <v>662</v>
          </cell>
          <cell r="B636" t="str">
            <v>CCL Container</v>
          </cell>
          <cell r="C636" t="str">
            <v>Anahí Betanzos</v>
          </cell>
          <cell r="D636" t="str">
            <v>Av de la Luz 85, Fracc Industrial de la Luz, CP 54730, Cuautitlán Izcalli, Edo de Mexico</v>
          </cell>
        </row>
        <row r="637">
          <cell r="A637">
            <v>663</v>
          </cell>
          <cell r="B637" t="str">
            <v>MAPRID TECH CAST, SA DE CV.</v>
          </cell>
          <cell r="C637" t="str">
            <v>Jose Carlos Carreón Chantaca</v>
          </cell>
          <cell r="D637" t="str">
            <v>Camino Rincón Insurgentes Km 1.6 Ejido Mesón del Norte(Santa María). Ramos Arizpe Coahuila</v>
          </cell>
        </row>
        <row r="638">
          <cell r="A638">
            <v>664</v>
          </cell>
          <cell r="B638" t="str">
            <v>Medeq Medical Equipment and Supplies</v>
          </cell>
          <cell r="C638" t="str">
            <v>Ing Jainal Gil</v>
          </cell>
          <cell r="D638" t="str">
            <v>Calle Morelos #1977 int 1, Col. Ladrón de Guevara, C.P. 44600, Guadalajara, Jalisco</v>
          </cell>
        </row>
        <row r="639">
          <cell r="A639">
            <v>665</v>
          </cell>
          <cell r="B639" t="str">
            <v>Empaques Modernos PEOSA S de RL de CV</v>
          </cell>
          <cell r="C639" t="str">
            <v>Octavio Martínez Reyes</v>
          </cell>
          <cell r="D639" t="str">
            <v>Av. Dr. Angel Leaño #401, Los Robles, C.P. 45134, Zapopan, Jalisco</v>
          </cell>
        </row>
        <row r="640">
          <cell r="A640">
            <v>666</v>
          </cell>
          <cell r="B640" t="str">
            <v>Sialico Food Safety S.A. de C.V.</v>
          </cell>
          <cell r="C640" t="str">
            <v>Fernanda Jimenez</v>
          </cell>
          <cell r="D640" t="str">
            <v>Calle Huamantla 55, La Paz, Puebla, Pue., México C.P.72820</v>
          </cell>
        </row>
        <row r="641">
          <cell r="A641">
            <v>667</v>
          </cell>
          <cell r="B641" t="str">
            <v>Proveedora Comercial Arteaga</v>
          </cell>
          <cell r="C641" t="str">
            <v>Eduardo Camargo</v>
          </cell>
          <cell r="D641" t="str">
            <v>Rancho La Paleta #1015, CP 47700, Capilla de Guadalupe, Jalisco</v>
          </cell>
        </row>
        <row r="642">
          <cell r="A642">
            <v>668</v>
          </cell>
          <cell r="B642" t="str">
            <v>Manufactura de Equipos de Proceso</v>
          </cell>
          <cell r="D642" t="str">
            <v>Calle Tijuana #16, Col Baja California, C.P. 45562, El Salto, Jalisco</v>
          </cell>
        </row>
        <row r="643">
          <cell r="A643">
            <v>669</v>
          </cell>
          <cell r="B643" t="str">
            <v>Garfigas S.A. de C.V.</v>
          </cell>
          <cell r="C643" t="str">
            <v>Leopoldo Garcia Figueroa</v>
          </cell>
          <cell r="D643" t="str">
            <v>Av. Corregidora 1285 Ote, Centro CP27000, Torreón, Coahuila</v>
          </cell>
        </row>
        <row r="644">
          <cell r="A644">
            <v>670</v>
          </cell>
          <cell r="B644" t="str">
            <v>Raymundo Murrieta Domiguez</v>
          </cell>
          <cell r="C644" t="str">
            <v>Raymundo Murrieta</v>
          </cell>
          <cell r="D644" t="str">
            <v>Calle  41 #107, Entre 1 y 3 Col Moderna, CP 94640, Cordoba, Veracruz</v>
          </cell>
        </row>
        <row r="645">
          <cell r="A645">
            <v>671</v>
          </cell>
          <cell r="B645" t="str">
            <v>Agaves Selectos Cororna</v>
          </cell>
          <cell r="C645" t="str">
            <v>Ing Gilberto Naranjo</v>
          </cell>
          <cell r="D645" t="str">
            <v>Extramuros #994, C.P. 48760, Tonaya, Jalisco</v>
          </cell>
        </row>
        <row r="646">
          <cell r="A646">
            <v>672</v>
          </cell>
          <cell r="B646" t="str">
            <v>PROAVIL S.A. de C.V.</v>
          </cell>
          <cell r="C646" t="str">
            <v>Ing Gilberto Naranjo</v>
          </cell>
          <cell r="D646" t="str">
            <v>Venustiano Carranza #35, Col. Centro, Tonaya, Jalisco</v>
          </cell>
        </row>
        <row r="647">
          <cell r="A647">
            <v>673</v>
          </cell>
          <cell r="B647" t="str">
            <v>Naturaextracta</v>
          </cell>
          <cell r="C647" t="str">
            <v>Ing. Rogelio Valdivia</v>
          </cell>
          <cell r="D647" t="str">
            <v>Cerezo 1221, Col. Del Fresno 1a. Seccion, C.P. 44900, Guadalajara Jal.</v>
          </cell>
        </row>
        <row r="648">
          <cell r="A648">
            <v>674</v>
          </cell>
          <cell r="B648" t="str">
            <v>Greenheck Saltillo</v>
          </cell>
          <cell r="C648" t="str">
            <v>Cristian Macias</v>
          </cell>
          <cell r="D648" t="str">
            <v>Parque Industrial La Angostura Km. 4.5 Carretera Saltillo-Zacatecas, Saltillo Coahuila Mexico C.P. 25315</v>
          </cell>
        </row>
        <row r="649">
          <cell r="A649">
            <v>675</v>
          </cell>
          <cell r="B649" t="str">
            <v>IB Pack</v>
          </cell>
          <cell r="C649" t="str">
            <v>Marco Gonzalez</v>
          </cell>
          <cell r="D649" t="str">
            <v>Calle Transformación #22, Corredor Industrial Ruta 80, CP 48500, Cocula, Jalisco</v>
          </cell>
        </row>
        <row r="650">
          <cell r="A650">
            <v>676</v>
          </cell>
          <cell r="B650" t="str">
            <v>ADIER PHARMA</v>
          </cell>
          <cell r="D650" t="str">
            <v>Crisantemos 12, Arroyo de las Flores, 45530, San Pedro Tlaquepaque</v>
          </cell>
        </row>
        <row r="651">
          <cell r="A651">
            <v>677</v>
          </cell>
          <cell r="B651" t="str">
            <v>AOC MEXICO</v>
          </cell>
          <cell r="D651" t="str">
            <v>Blvd. Isidro López Zertuche 2940, Col. La Salle, C.P. 25240, Saltillo, Coahuila México</v>
          </cell>
        </row>
        <row r="652">
          <cell r="A652">
            <v>678</v>
          </cell>
          <cell r="B652" t="str">
            <v>Javier Castillo Cruz</v>
          </cell>
          <cell r="C652" t="str">
            <v>Javier Castillo Cruz</v>
          </cell>
          <cell r="D652" t="str">
            <v>Boulevard Tepic Xalisco #537, Col Los Fresnos Ote., Tepic, Nayarit</v>
          </cell>
        </row>
        <row r="653">
          <cell r="A653">
            <v>679</v>
          </cell>
          <cell r="B653" t="str">
            <v>Tubos y Calibrados del Prado S.A. de C.V.</v>
          </cell>
          <cell r="D653" t="str">
            <v>Av. Toluca Manzana 041, Colonia Valle de Tules, C.P. 54945, Buenavista, Edo. De Mexico</v>
          </cell>
        </row>
        <row r="654">
          <cell r="A654">
            <v>680</v>
          </cell>
          <cell r="B654" t="str">
            <v>Farmacia SOLODERMA</v>
          </cell>
          <cell r="D654" t="str">
            <v>Patio la Cima, Local 1, Juan Gil Preciado #1544, Nuevo Mexico, CP 44610</v>
          </cell>
        </row>
        <row r="655">
          <cell r="A655">
            <v>690</v>
          </cell>
          <cell r="B655" t="str">
            <v>MDC Dental</v>
          </cell>
          <cell r="D655" t="str">
            <v>Industria del Plástico #2113, Zapopan Industrial Nte, CP 45130, Zapopan, Jalisco</v>
          </cell>
        </row>
        <row r="656">
          <cell r="A656">
            <v>691</v>
          </cell>
          <cell r="B656" t="str">
            <v xml:space="preserve">Aeroplaza Tepic </v>
          </cell>
          <cell r="C656" t="str">
            <v>Juan Carlos Ascensio Urtado</v>
          </cell>
          <cell r="D656" t="str">
            <v>Av. Insurgentes Poniente S/N, C.P. 63109, Tepic, Nayarit</v>
          </cell>
        </row>
        <row r="657">
          <cell r="A657">
            <v>692</v>
          </cell>
          <cell r="B657" t="str">
            <v>Pharmaceutica Marlex SA de CV</v>
          </cell>
          <cell r="C657" t="str">
            <v>Josué Edgar Gonzalez Vazquez</v>
          </cell>
          <cell r="D657" t="str">
            <v>Janitzio #45, Col. Super Manzana El Alamo, CP 45567, Tlaquepaque, Jalisco</v>
          </cell>
        </row>
        <row r="658">
          <cell r="A658">
            <v>693</v>
          </cell>
          <cell r="B658" t="str">
            <v>Tecnofijaciones</v>
          </cell>
          <cell r="C658" t="str">
            <v>Gerardo Cinesneros</v>
          </cell>
          <cell r="D658" t="str">
            <v>Av. Cristóbal Colón 2601-A, Fraccionamiento, Colón Industrial, C.P. 44930 Guadalajara, Jal.</v>
          </cell>
        </row>
        <row r="659">
          <cell r="A659">
            <v>694</v>
          </cell>
          <cell r="B659" t="str">
            <v>Simtrem</v>
          </cell>
          <cell r="C659" t="str">
            <v>Francisco torres</v>
          </cell>
          <cell r="D659" t="str">
            <v>Calle Pichon #1480, Col. Morelos, Guadalajara, Jalisco. C.P. 44910</v>
          </cell>
        </row>
        <row r="660">
          <cell r="A660">
            <v>695</v>
          </cell>
          <cell r="B660" t="str">
            <v>Soluciones Biomedicas Ammed S.A. de C.V.</v>
          </cell>
          <cell r="D660" t="str">
            <v>Juan Manuel #1142, Col. Sta. Teresita, C.P. 44600, Guadalajara Jal.</v>
          </cell>
        </row>
        <row r="661">
          <cell r="A661">
            <v>696</v>
          </cell>
          <cell r="B661" t="str">
            <v>Grupo IKAM SA de CV</v>
          </cell>
          <cell r="C661" t="str">
            <v>Alejandro Perez Morett</v>
          </cell>
          <cell r="D661" t="str">
            <v>Lopez Mateos #82, Castro Urdiales (pacana) CP 43325, Tala, Jalisco</v>
          </cell>
        </row>
        <row r="662">
          <cell r="A662">
            <v>697</v>
          </cell>
          <cell r="B662" t="str">
            <v>Technology Steel</v>
          </cell>
          <cell r="C662" t="str">
            <v>Rito Cornonado</v>
          </cell>
          <cell r="D662" t="str">
            <v>Cruz del Sur #3297, Col. La Calma, C.P.45070, Zapopan, Jalisco</v>
          </cell>
        </row>
        <row r="663">
          <cell r="A663">
            <v>698</v>
          </cell>
          <cell r="B663" t="str">
            <v>Unilever Planta Talisman</v>
          </cell>
          <cell r="C663" t="str">
            <v>Diana López</v>
          </cell>
          <cell r="D663" t="str">
            <v>Av Eje 4 Norte Talisman #210, Gustavo A Madero, CP 07460, Cd de Mexico</v>
          </cell>
        </row>
        <row r="664">
          <cell r="A664">
            <v>699</v>
          </cell>
          <cell r="B664" t="str">
            <v>Casa Tradición SA de CV</v>
          </cell>
          <cell r="C664" t="str">
            <v>Geraldine Velasco</v>
          </cell>
          <cell r="D664" t="str">
            <v>Av. Adolfo López Mateos Sur #7201, CP 45645, San Agustín, Jalisco</v>
          </cell>
        </row>
        <row r="665">
          <cell r="A665">
            <v>700</v>
          </cell>
          <cell r="B665" t="str">
            <v>Quimicos y Polimeros Corpration</v>
          </cell>
          <cell r="C665" t="str">
            <v>Maria Adriana Gutierrez</v>
          </cell>
          <cell r="D665" t="str">
            <v>Av. Gobernador Curiel 2780, Colon Industrial, Guaalajara, Jal</v>
          </cell>
        </row>
        <row r="666">
          <cell r="A666">
            <v>701</v>
          </cell>
          <cell r="B666" t="str">
            <v>Desarrollos Serysi</v>
          </cell>
          <cell r="C666" t="str">
            <v>Fidencio Flores</v>
          </cell>
          <cell r="D666" t="str">
            <v>Calle Paseos del Pacifico # 685, C.P. 45010, Zapopan Jal.</v>
          </cell>
        </row>
        <row r="667">
          <cell r="A667">
            <v>702</v>
          </cell>
          <cell r="B667" t="str">
            <v>Fidel Padilla Navarro</v>
          </cell>
          <cell r="C667" t="str">
            <v>Ing. Fidel Padilla</v>
          </cell>
          <cell r="D667" t="str">
            <v>Nicolas Bravo No. 135, Colonia Arroyo Hondo, C.P. 45180, Zapopan Jal.</v>
          </cell>
        </row>
        <row r="668">
          <cell r="A668">
            <v>703</v>
          </cell>
          <cell r="B668" t="str">
            <v>Begalat Pharma</v>
          </cell>
          <cell r="C668" t="str">
            <v>Ismael Rodriguez</v>
          </cell>
          <cell r="D668" t="str">
            <v>Calle 23 #121, Col. San Pedro de los Pinos, C.P. 03800, Benito Juárez, Ciudad de México</v>
          </cell>
        </row>
        <row r="669">
          <cell r="A669">
            <v>704</v>
          </cell>
          <cell r="B669" t="str">
            <v>Mecanoplastica Industrial</v>
          </cell>
          <cell r="C669" t="str">
            <v>Milagros Cecilia Carrillo Véliz</v>
          </cell>
          <cell r="D669" t="str">
            <v>Lazaro Cardenas #493 int A-12, Ferrocarril, C.P. 44440, Guadalajara, Jalisco</v>
          </cell>
        </row>
        <row r="670">
          <cell r="A670">
            <v>705</v>
          </cell>
          <cell r="B670" t="str">
            <v>Tecnología y Diseño Industrial</v>
          </cell>
          <cell r="D670" t="str">
            <v>Volcán Paricutín #511, Col. El Colli Urbano, C.P. 45970, Zapopan, Jalisco</v>
          </cell>
        </row>
        <row r="671">
          <cell r="A671">
            <v>706</v>
          </cell>
          <cell r="B671" t="str">
            <v>Eastek International</v>
          </cell>
          <cell r="C671" t="str">
            <v>Griselda Estrada Tapia</v>
          </cell>
          <cell r="D671" t="str">
            <v>Carretera Fresnillo-Plateros km 2, Parque Industrial, C.P. 99056, Fresnillo, Zacatecas</v>
          </cell>
        </row>
        <row r="672">
          <cell r="A672">
            <v>707</v>
          </cell>
          <cell r="B672" t="str">
            <v>Precision Resource</v>
          </cell>
          <cell r="D672" t="str">
            <v>Carretera Antigua Arteaga #2603, La Aurora, C.P. 25248, Saltillo, Coahuila</v>
          </cell>
        </row>
        <row r="673">
          <cell r="A673">
            <v>708</v>
          </cell>
          <cell r="B673" t="str">
            <v>Triumph Group-México</v>
          </cell>
          <cell r="C673" t="str">
            <v>Jannette Jimenez</v>
          </cell>
          <cell r="D673" t="str">
            <v>Av. Paseo de la Plata #1100, Col. Mega Parque Industrial Aeropuerto de Calera, Calera, Zacatecas, C.P. 98574</v>
          </cell>
        </row>
        <row r="674">
          <cell r="A674">
            <v>709</v>
          </cell>
          <cell r="B674" t="str">
            <v>Samsong México S. De R.L. De C.V.</v>
          </cell>
          <cell r="C674" t="str">
            <v>Ing. Daniel Eduardo Fraustro Martínez</v>
          </cell>
          <cell r="D674" t="str">
            <v>25908 Parque Industrial Amistad, Ramos Arizpe, Coahuila</v>
          </cell>
        </row>
        <row r="675">
          <cell r="A675">
            <v>710</v>
          </cell>
          <cell r="B675" t="str">
            <v>Marllam de Matamoros</v>
          </cell>
          <cell r="C675" t="str">
            <v>Veronica Llamas</v>
          </cell>
          <cell r="D675" t="str">
            <v>Laguna Madre 144165 #98-1, Matamoros, Tamaulipas</v>
          </cell>
        </row>
        <row r="676">
          <cell r="A676">
            <v>711</v>
          </cell>
          <cell r="B676" t="str">
            <v>Servicios Magallanes</v>
          </cell>
          <cell r="C676" t="str">
            <v>Antonio Magallanes</v>
          </cell>
          <cell r="D676" t="str">
            <v>Vicente Fernández #1332, Col. Huentitán el Alto, C.P. 44390, Guadalajara, Jalisco</v>
          </cell>
        </row>
        <row r="677">
          <cell r="A677">
            <v>712</v>
          </cell>
          <cell r="B677" t="str">
            <v>Comercializadora Ininbo</v>
          </cell>
          <cell r="C677" t="str">
            <v>Juana Ivette Mejía Vargas</v>
          </cell>
          <cell r="D677" t="str">
            <v>Aldama #45, Col santuario, C.P. 59300, La Piedad, Michoacán</v>
          </cell>
        </row>
        <row r="678">
          <cell r="A678">
            <v>713</v>
          </cell>
          <cell r="B678" t="str">
            <v>Accesorios Forestales SA de CV</v>
          </cell>
          <cell r="C678" t="str">
            <v>Victor lópez</v>
          </cell>
          <cell r="D678" t="str">
            <v>López Mateos #5019, Col. La Calma, C.P. 45070, Zapopan, Jalisco</v>
          </cell>
        </row>
        <row r="679">
          <cell r="A679">
            <v>714</v>
          </cell>
          <cell r="B679" t="str">
            <v>Instalaciones y Mantenimiento de Calidad</v>
          </cell>
          <cell r="C679" t="str">
            <v>Luis León</v>
          </cell>
          <cell r="D679" t="str">
            <v>Periférico Sur #7215 Local 6, Col. Prados de Sta. María, C.P. 45601, Tlaquepaque, Jalisco</v>
          </cell>
        </row>
        <row r="680">
          <cell r="A680">
            <v>715</v>
          </cell>
          <cell r="B680" t="str">
            <v>Grupo Florité</v>
          </cell>
          <cell r="C680" t="str">
            <v>Jesús Vizkarra</v>
          </cell>
          <cell r="D680" t="str">
            <v>Cerro del Colli #1383-B, Col. Jardines de San Ignacio, C.P. 45040, Zapopan, Jalisco</v>
          </cell>
        </row>
        <row r="681">
          <cell r="A681">
            <v>716</v>
          </cell>
          <cell r="B681" t="str">
            <v> TitanX Engine Cooling de Mexico, S. de C.V.</v>
          </cell>
          <cell r="C681" t="str">
            <v>Nallely Hernández</v>
          </cell>
          <cell r="D681" t="str">
            <v>Libramiento Oscar Flores Tapia 1755-1, Parque Industrial Amistad Aeropuerto-Etapa II, C.P. 25900. Ramos Arizpe, Coahuila, México</v>
          </cell>
        </row>
        <row r="682">
          <cell r="A682">
            <v>717</v>
          </cell>
          <cell r="B682" t="str">
            <v>Ispro S.A. de C.V.</v>
          </cell>
          <cell r="C682" t="str">
            <v>Jorge Moreno</v>
          </cell>
          <cell r="D682" t="str">
            <v>Angel Romero # 9, Col. Lomas del Colli C.P. 45010, Zapopan Jal.</v>
          </cell>
        </row>
        <row r="683">
          <cell r="A683">
            <v>718</v>
          </cell>
          <cell r="B683" t="str">
            <v>Shanaturals</v>
          </cell>
          <cell r="C683" t="str">
            <v>Patricia Real</v>
          </cell>
          <cell r="D683" t="str">
            <v>Av. Tabachines #3514, Col. Loma Bonita Ejidal , C.P. 45085, Zapopan, Jalisco</v>
          </cell>
        </row>
        <row r="684">
          <cell r="A684">
            <v>719</v>
          </cell>
          <cell r="B684" t="str">
            <v>Medipaq</v>
          </cell>
          <cell r="C684" t="str">
            <v>Martha Angelica Anton Sánchez</v>
          </cell>
          <cell r="D684" t="str">
            <v>José Guadalupe Zuno #46. Zapopan, Jalisco</v>
          </cell>
        </row>
        <row r="685">
          <cell r="A685">
            <v>720</v>
          </cell>
          <cell r="B685" t="str">
            <v>Unidad de Investigación en Salud</v>
          </cell>
          <cell r="C685" t="str">
            <v>Janeth Guadalupe Bernal</v>
          </cell>
          <cell r="D685" t="str">
            <v>Unidad Nacional #1299, Conjunto Patria, C.P. 45150, Zapopan, Jalisco</v>
          </cell>
        </row>
        <row r="686">
          <cell r="A686">
            <v>721</v>
          </cell>
          <cell r="B686" t="str">
            <v>Fertinova S.A. de C.V.</v>
          </cell>
          <cell r="C686" t="str">
            <v>Roberto De Alba Gutierrez</v>
          </cell>
          <cell r="D686" t="str">
            <v>Rancho las Viboras No. 825, C.P. 45470, Acatic, Jalisco</v>
          </cell>
        </row>
        <row r="687">
          <cell r="A687">
            <v>722</v>
          </cell>
          <cell r="B687" t="str">
            <v>Henkel Natco (Nattura Labs)</v>
          </cell>
          <cell r="C687" t="str">
            <v>Noemí Nuñez</v>
          </cell>
          <cell r="D687" t="str">
            <v>Industria Vidriera #69, Fraccionamiento Industrial, C.P. 45130, Zapopan Norte, México</v>
          </cell>
        </row>
        <row r="688">
          <cell r="A688">
            <v>723</v>
          </cell>
          <cell r="B688" t="str">
            <v xml:space="preserve">Adler Pharma  </v>
          </cell>
          <cell r="C688" t="str">
            <v>Ing. Antonio Aragón</v>
          </cell>
          <cell r="D688" t="str">
            <v>Crisantemos #12, Arroyo de las Flores, C.P. 45530, San Pedro Tlaquepaque, Jalisco</v>
          </cell>
        </row>
        <row r="689">
          <cell r="A689">
            <v>724</v>
          </cell>
          <cell r="B689" t="str">
            <v>Ingenio Alianza Popular SA de CV</v>
          </cell>
          <cell r="C689" t="str">
            <v>Consuelo Maya</v>
          </cell>
          <cell r="D689" t="str">
            <v>Conocido S/N, Tambaca de Tamasopo, San Luis Potosí</v>
          </cell>
        </row>
        <row r="690">
          <cell r="A690">
            <v>725</v>
          </cell>
          <cell r="B690" t="str">
            <v>Casa Cuervo Planta Edisa</v>
          </cell>
          <cell r="D690" t="str">
            <v>Av. Circunvalación Agustín Yañez #2343 Colonia Moderna, C.P 44190, GUADALAJARA, Jalisco</v>
          </cell>
        </row>
        <row r="691">
          <cell r="A691">
            <v>726</v>
          </cell>
          <cell r="B691" t="str">
            <v>Fertinova S.A. de C.V.</v>
          </cell>
          <cell r="C691" t="str">
            <v>Roberto De Alba Gutierrez</v>
          </cell>
          <cell r="D691" t="str">
            <v>Carr. Atotonilco - Tototlan km.5.5Autodromo el Alto, Jal. C.P. 47779</v>
          </cell>
        </row>
        <row r="692">
          <cell r="A692">
            <v>727</v>
          </cell>
          <cell r="B692" t="str">
            <v>Eastek International Corporation</v>
          </cell>
          <cell r="C692" t="str">
            <v>Ing. Griselda Estrada Tapia</v>
          </cell>
          <cell r="D692" t="str">
            <v>Carretera Fresnillo-Plateros km 2 SN Fresnillo, Zacatecas, México, C. P. 99056</v>
          </cell>
        </row>
        <row r="693">
          <cell r="A693">
            <v>728</v>
          </cell>
          <cell r="B693" t="str">
            <v>Corporativo Grupo Mexlab.</v>
          </cell>
          <cell r="C693" t="str">
            <v>Andrea Ornelas</v>
          </cell>
          <cell r="D693" t="str">
            <v>Susana Gómez Palafox #5486, C.P. 45079, Zapopan, Jalisco</v>
          </cell>
        </row>
        <row r="694">
          <cell r="A694">
            <v>729</v>
          </cell>
          <cell r="B694" t="str">
            <v>Alpla Villahermosa</v>
          </cell>
          <cell r="C694" t="str">
            <v>Isidro Jiménez</v>
          </cell>
          <cell r="D694" t="str">
            <v>Buena Vista Río Nuevo 1ra Secc, Luis Gil Pérez - Villahermosa 1990, Buena Vista Río Nuevo 1ra Secc, Tab.</v>
          </cell>
        </row>
        <row r="695">
          <cell r="A695">
            <v>730</v>
          </cell>
          <cell r="B695" t="str">
            <v>Alpla Villahermosa</v>
          </cell>
          <cell r="C695" t="str">
            <v>Ana Gomez</v>
          </cell>
          <cell r="D695" t="str">
            <v>Buena Vista Río Nuevo 1ra Secc, Luis Gil Pérez - Villahermosa 1990, Buena Vista Río Nuevo 1ra Secc, Tab.</v>
          </cell>
        </row>
        <row r="696">
          <cell r="A696">
            <v>731</v>
          </cell>
          <cell r="B696" t="str">
            <v>Universal Wipes</v>
          </cell>
          <cell r="C696" t="str">
            <v>Fernanda Aldrete</v>
          </cell>
          <cell r="D696" t="str">
            <v>Carretera Tepatitlán-Yahualica km 8, C.P.47716, Tepatitlán de Morelos, Jalisco</v>
          </cell>
        </row>
        <row r="697">
          <cell r="A697">
            <v>732</v>
          </cell>
          <cell r="B697" t="str">
            <v>Nattura Laboratorios</v>
          </cell>
          <cell r="C697" t="str">
            <v xml:space="preserve">Milagros  </v>
          </cell>
          <cell r="D697" t="str">
            <v>Av. Pedro Martínez Rivas # 746, Parque Industrial Belenes Norte</v>
          </cell>
        </row>
        <row r="698">
          <cell r="A698">
            <v>733</v>
          </cell>
          <cell r="B698" t="str">
            <v>Concretos y Triturados de Saltillo</v>
          </cell>
          <cell r="C698" t="str">
            <v>Ing. David Mario Blanco Villanueva</v>
          </cell>
          <cell r="D698" t="str">
            <v>Av. Universidad #542, Col. Insurgentes, C.P. 25260, Saltillo, Coahuila</v>
          </cell>
        </row>
        <row r="699">
          <cell r="A699">
            <v>734</v>
          </cell>
          <cell r="B699" t="str">
            <v>AMIIC</v>
          </cell>
          <cell r="C699" t="str">
            <v>Hugo Lara</v>
          </cell>
          <cell r="D699" t="str">
            <v>Citlalli #19, San Bartolo Tres Marías, Morelos, México</v>
          </cell>
        </row>
        <row r="700">
          <cell r="A700">
            <v>735</v>
          </cell>
          <cell r="B700" t="str">
            <v>Alejandro Ovalle</v>
          </cell>
          <cell r="D700" t="str">
            <v>Clementia 125, G.C. Element, Tlajomulco Jal.</v>
          </cell>
        </row>
        <row r="701">
          <cell r="A701">
            <v>736</v>
          </cell>
          <cell r="B701" t="str">
            <v>Arneses Eléctricos Automotrices SA de CV</v>
          </cell>
          <cell r="C701" t="str">
            <v>Rita Espinosa Gonzalez</v>
          </cell>
          <cell r="D701" t="str">
            <v>Carretera Federal #57 México-Piedras Negras, Km 117.5, Comunidad la Jaula San Diego de la Unión</v>
          </cell>
        </row>
        <row r="702">
          <cell r="A702">
            <v>737</v>
          </cell>
          <cell r="B702" t="str">
            <v>Acero Prime S de RL de CV</v>
          </cell>
          <cell r="C702" t="str">
            <v>Lic. Jessica Sanchez</v>
          </cell>
          <cell r="D702" t="str">
            <v>Av. Gama #517, Parque Industrial Santa María, Ramos Arizpe, Coahuila, México</v>
          </cell>
        </row>
        <row r="703">
          <cell r="A703">
            <v>738</v>
          </cell>
          <cell r="B703" t="str">
            <v>MEAT</v>
          </cell>
          <cell r="C703" t="str">
            <v>Isboset Flores</v>
          </cell>
          <cell r="D703" t="str">
            <v>Calle Jarauta #323, Col. San Juan de Dios, C.P. 44360, Guadalajara, Jalisco</v>
          </cell>
        </row>
        <row r="704">
          <cell r="A704">
            <v>739</v>
          </cell>
          <cell r="B704" t="str">
            <v>Efren Gonzalez Gomez</v>
          </cell>
          <cell r="C704" t="str">
            <v>Efren Gonzalez</v>
          </cell>
          <cell r="D704" t="str">
            <v>Calle Morelos Poniente #97, Col. Jocotepec, Jocotepec, Jalisco</v>
          </cell>
        </row>
        <row r="705">
          <cell r="A705">
            <v>740</v>
          </cell>
          <cell r="B705" t="str">
            <v>General Motores de México</v>
          </cell>
          <cell r="C705" t="str">
            <v>Ing. Esteban Cárdenas</v>
          </cell>
          <cell r="D705" t="str">
            <v>Super Carretera 80 km, 3.3 Laguna de San Vicente Villa de Reyes, San Luis Potosí</v>
          </cell>
        </row>
        <row r="706">
          <cell r="A706">
            <v>741</v>
          </cell>
          <cell r="B706" t="str">
            <v>Multi Basculas Internacionales</v>
          </cell>
          <cell r="C706" t="str">
            <v>Joel Gómez</v>
          </cell>
          <cell r="D706" t="str">
            <v>Av Arco del Triunfo #512, Col. Arcos de Zapopan, Zapopan, Jalisco</v>
          </cell>
        </row>
        <row r="707">
          <cell r="A707">
            <v>742</v>
          </cell>
          <cell r="B707" t="str">
            <v>Nattura Labs Belenes</v>
          </cell>
          <cell r="C707" t="str">
            <v>Ing. Alicia Ramirez</v>
          </cell>
          <cell r="D707" t="str">
            <v>Luis Enrique Williams #609, Belenes Nte, CP 45150, Zapopan, Jalisco</v>
          </cell>
        </row>
        <row r="708">
          <cell r="A708">
            <v>743</v>
          </cell>
          <cell r="B708" t="str">
            <v>A &amp; C Metrology Services</v>
          </cell>
          <cell r="D708" t="str">
            <v>Priv. Galileo Galilei 1618, Cd Satélite, 72320 Heroica Puebla de Zaragoza, Pue</v>
          </cell>
        </row>
        <row r="709">
          <cell r="A709">
            <v>744</v>
          </cell>
          <cell r="B709" t="str">
            <v>Tecnologia Integral en Riego</v>
          </cell>
          <cell r="C709" t="str">
            <v>Efren Gonzalez</v>
          </cell>
          <cell r="D709" t="str">
            <v xml:space="preserve"> </v>
          </cell>
        </row>
        <row r="710">
          <cell r="A710">
            <v>745</v>
          </cell>
          <cell r="B710" t="str">
            <v>Ceneba Bioprocess</v>
          </cell>
          <cell r="C710" t="str">
            <v>Alejandro Hernández Barragán</v>
          </cell>
          <cell r="D710" t="str">
            <v>Camino a San Isidro Mazatepec #38, Sta. Cruz de las Flores, C.P. 45640, Tlajomulco de Zuñiga, Jalisco</v>
          </cell>
        </row>
        <row r="711">
          <cell r="A711">
            <v>746</v>
          </cell>
          <cell r="B711" t="str">
            <v>Comercializadora de Embutidos ICO</v>
          </cell>
          <cell r="C711" t="str">
            <v>Juan Manuel Arias Hernandez</v>
          </cell>
          <cell r="D711" t="str">
            <v>C. Guinea 110, C.P. 44820, Guadalajara</v>
          </cell>
        </row>
        <row r="712">
          <cell r="A712">
            <v>747</v>
          </cell>
          <cell r="B712" t="str">
            <v>UMAE Hospital de Pediatría, Centro Médico Nacional de Occidente</v>
          </cell>
          <cell r="D712" t="str">
            <v>Av. Belisario Dominguez, #735, Col. Independencia Oriente, C.P. 44340, Guadalajara, Jalisco, México</v>
          </cell>
        </row>
        <row r="713">
          <cell r="A713">
            <v>748</v>
          </cell>
          <cell r="B713" t="str">
            <v>UMAE Hospital de Ginecobstetrica, Centro Médico Nacional de Occidente</v>
          </cell>
          <cell r="D713" t="str">
            <v>Av. Belisario Dominguez, #771, Col. Independencia Oriente, C.P. 44340, Guadalajara, Jalisco, México</v>
          </cell>
        </row>
        <row r="714">
          <cell r="A714">
            <v>749</v>
          </cell>
          <cell r="B714" t="str">
            <v>Cubiertos y Desechables Fantasy</v>
          </cell>
          <cell r="C714" t="str">
            <v>Karen Lizette Ramos Gutiérrez</v>
          </cell>
          <cell r="D714" t="str">
            <v>Av. Carretera Libre a Zapotlanejo #2975, Col. San Miguel de la Punta</v>
          </cell>
        </row>
        <row r="715">
          <cell r="A715">
            <v>750</v>
          </cell>
          <cell r="B715" t="str">
            <v>Epsical SA de CV</v>
          </cell>
          <cell r="C715" t="str">
            <v>Mayela de la Garza</v>
          </cell>
          <cell r="D715" t="str">
            <v>Av los Puentes #207 int C, Col Las Fuentes, San Nicolás de los Garza, Nuevo León</v>
          </cell>
        </row>
        <row r="716">
          <cell r="A716">
            <v>751</v>
          </cell>
          <cell r="B716" t="str">
            <v>XSANT</v>
          </cell>
          <cell r="C716" t="str">
            <v>Isidro Reyes Arias Cesar</v>
          </cell>
          <cell r="D716" t="str">
            <v>Carretera Libre Toluca-Tenango Km 18.5, Santa María Rayón, C.P 52360, Mex</v>
          </cell>
        </row>
        <row r="717">
          <cell r="A717">
            <v>752</v>
          </cell>
          <cell r="B717" t="str">
            <v>ALSEA</v>
          </cell>
          <cell r="C717" t="str">
            <v>Mónica Castillo</v>
          </cell>
          <cell r="D717" t="str">
            <v>Tlane Park, Av. Lago de Guadalupe, Tlalneplanta, México</v>
          </cell>
        </row>
        <row r="718">
          <cell r="A718">
            <v>753</v>
          </cell>
          <cell r="B718" t="str">
            <v>Desarrollo Logistico SA de CV</v>
          </cell>
          <cell r="C718" t="str">
            <v>Iván Briseño</v>
          </cell>
          <cell r="D718" t="str">
            <v>Corredor Industrial de El Salto Norte, Carretera El Salto S/N</v>
          </cell>
        </row>
        <row r="719">
          <cell r="A719">
            <v>754</v>
          </cell>
          <cell r="B719" t="str">
            <v>CIMA LOGISTIC S.A. DE C.V.</v>
          </cell>
          <cell r="C719" t="str">
            <v>Jose Manuel Herrera Peña</v>
          </cell>
          <cell r="D719" t="str">
            <v>Carretera Manzanillo-Minatitlan No. Ext. Km. 4.5, No. Int. N/A Col. Tapeixtles C.P. 28239, Manzanillo Col.</v>
          </cell>
        </row>
        <row r="720">
          <cell r="A720">
            <v>755</v>
          </cell>
          <cell r="B720" t="str">
            <v>UMAE Hospital de Especialidades Centro Medico Nacional de Occidente</v>
          </cell>
          <cell r="D720" t="str">
            <v>Belisario Dominguez #1000, Col Independencia, CP 44390, Guadalajara, Jalisco</v>
          </cell>
        </row>
        <row r="721">
          <cell r="A721">
            <v>756</v>
          </cell>
          <cell r="B721" t="str">
            <v>Nueva Walmart de México SRL de CV</v>
          </cell>
          <cell r="C721" t="str">
            <v>Elías Guadalupe Pérez</v>
          </cell>
          <cell r="D721" t="str">
            <v>Dr Pedro Juan Mirassou Tarno #246, Col. Zona Industrial Toluquilla, CP 45610</v>
          </cell>
        </row>
        <row r="722">
          <cell r="A722">
            <v>757</v>
          </cell>
          <cell r="B722" t="str">
            <v>Innovaciones Felwe SA de CV</v>
          </cell>
          <cell r="C722" t="str">
            <v>Miguel Ángel López</v>
          </cell>
          <cell r="D722" t="str">
            <v>Periodistas #67, Alamedas de Zalatitán, CP 45405, Tonalá, Jalisco</v>
          </cell>
        </row>
        <row r="723">
          <cell r="A723">
            <v>758</v>
          </cell>
          <cell r="B723" t="str">
            <v>Henkel Capital</v>
          </cell>
          <cell r="C723" t="str">
            <v>Cecilia Cortez</v>
          </cell>
          <cell r="D723" t="str">
            <v>Industria Vidriera #79, Zapopan Industrial Norte, C.P. 45132, Zapopan, Jalisco</v>
          </cell>
        </row>
        <row r="724">
          <cell r="A724">
            <v>759</v>
          </cell>
          <cell r="B724" t="str">
            <v>Polarium</v>
          </cell>
          <cell r="C724" t="str">
            <v>Nayeli Martínez</v>
          </cell>
          <cell r="D724" t="str">
            <v>Carretera a Chapala #9999, PIT 4 Int 1B, Col. Zapote del Valle, CP 49672, Tlajomulco de Zuñiga, Jalisco</v>
          </cell>
        </row>
        <row r="725">
          <cell r="A725">
            <v>760</v>
          </cell>
          <cell r="B725" t="str">
            <v>Laboratorio Santo Domingo</v>
          </cell>
          <cell r="C725" t="str">
            <v>Ximena Valnecia</v>
          </cell>
          <cell r="D725" t="str">
            <v>Fernando Arangurán #840, Col.Belenes, C.P. 45150, Zapopan, Jalisco</v>
          </cell>
        </row>
        <row r="726">
          <cell r="A726">
            <v>761</v>
          </cell>
          <cell r="B726" t="str">
            <v xml:space="preserve">Henkel Capital </v>
          </cell>
          <cell r="C726" t="str">
            <v>Ing. Alicia Ramirez</v>
          </cell>
          <cell r="D726" t="str">
            <v>Industria Vidriera, Zapopan Industrial Norte, CP 45130, Zapopan, Jalisco</v>
          </cell>
        </row>
        <row r="727">
          <cell r="A727">
            <v>762</v>
          </cell>
          <cell r="B727" t="str">
            <v>Vesuvius México</v>
          </cell>
          <cell r="C727" t="str">
            <v>Ing. Carlos Durón</v>
          </cell>
          <cell r="D727" t="str">
            <v>Blvd. Insignial #9000, Corredor Industrial Insignia, Ramos Arizpe, Coahuila, C.P. 25908</v>
          </cell>
        </row>
        <row r="728">
          <cell r="A728">
            <v>763</v>
          </cell>
          <cell r="B728" t="str">
            <v>Vitro Tequilera</v>
          </cell>
          <cell r="C728" t="str">
            <v>Gildardo Partida Hermosillo</v>
          </cell>
          <cell r="D728" t="str">
            <v>Av. Lazaro Cárdenas #34, Col. El Arenal</v>
          </cell>
        </row>
        <row r="729">
          <cell r="A729">
            <v>764</v>
          </cell>
          <cell r="B729" t="str">
            <v>Laboratorios DEF, S.A. de C.V.</v>
          </cell>
          <cell r="C729" t="str">
            <v xml:space="preserve">Marco Antonio Romero Salazar </v>
          </cell>
          <cell r="D729" t="str">
            <v xml:space="preserve">Parque Industrial Nogales Carr. Nogales #5297 Nave 16 Col, Rancho Contento, 45222 Zapopan, Jalisco. </v>
          </cell>
        </row>
        <row r="730">
          <cell r="A730">
            <v>765</v>
          </cell>
          <cell r="B730" t="str">
            <v>Concavus</v>
          </cell>
          <cell r="C730" t="str">
            <v>Nicolas Rubio</v>
          </cell>
          <cell r="D730" t="str">
            <v>Agua Termal 8618, Agua Blanca Sur, 45235 Zapopan, Jal.</v>
          </cell>
        </row>
        <row r="731">
          <cell r="A731">
            <v>766</v>
          </cell>
          <cell r="B731" t="str">
            <v>Recubrimientos PROCARSA SA de CV</v>
          </cell>
          <cell r="C731" t="str">
            <v>Jorge A. Medina de León</v>
          </cell>
          <cell r="D731" t="str">
            <v>Prol. Tamaulipas #2003, C.P. 25680, Zona Industrial, Cd. Frontera, Coahuila</v>
          </cell>
        </row>
        <row r="732">
          <cell r="A732">
            <v>767</v>
          </cell>
          <cell r="B732" t="str">
            <v>Freshcourt</v>
          </cell>
          <cell r="C732" t="str">
            <v>Julissa Trevizo</v>
          </cell>
          <cell r="D732" t="str">
            <v>Blvd Industrial #2398, Col. La Presa, C.P. 60134, Uruapan, Michoacán</v>
          </cell>
        </row>
        <row r="733">
          <cell r="A733">
            <v>768</v>
          </cell>
          <cell r="B733" t="str">
            <v>Partes, Herramientas y Maquinados</v>
          </cell>
          <cell r="C733" t="str">
            <v>Juan Trujillo</v>
          </cell>
          <cell r="D733" t="str">
            <v>Calle 28 #2774, Col. Colón Industrial, C.P. 44940, Guadalajara, Jalisco</v>
          </cell>
        </row>
        <row r="734">
          <cell r="A734">
            <v>769</v>
          </cell>
          <cell r="B734" t="str">
            <v xml:space="preserve">Electricomedica Tinajero </v>
          </cell>
          <cell r="C734" t="str">
            <v>Citlalli Herrera</v>
          </cell>
          <cell r="D734" t="str">
            <v>Calle Domingo Sarmiento #2822 int. 4, Col. Providencia Segunda, C.P. 44630, Guadalajara, Jalisco</v>
          </cell>
        </row>
        <row r="735">
          <cell r="A735">
            <v>770</v>
          </cell>
          <cell r="B735" t="str">
            <v>Seerauber Automotive</v>
          </cell>
          <cell r="D735" t="str">
            <v>Camino Rio Blanco #2285 col.Las Juntas, C.P. 45200, Zapopan, Jal.</v>
          </cell>
        </row>
        <row r="736">
          <cell r="A736">
            <v>771</v>
          </cell>
          <cell r="B736" t="str">
            <v xml:space="preserve">Dulymex </v>
          </cell>
          <cell r="C736" t="str">
            <v>Esmeralda Rios</v>
          </cell>
          <cell r="D736" t="str">
            <v>Cto.Grijalba, #139-B col.Santa Cruz de las Flores C.P.45640,Tlajomulco,Jal.</v>
          </cell>
        </row>
        <row r="737">
          <cell r="A737">
            <v>772</v>
          </cell>
          <cell r="B737" t="str">
            <v>Envases Gali</v>
          </cell>
          <cell r="C737" t="str">
            <v>Antonio Torres</v>
          </cell>
          <cell r="D737" t="str">
            <v>Calle 1 #1119, Zona Industrial, Guadalajara, Jal.</v>
          </cell>
        </row>
        <row r="738">
          <cell r="A738">
            <v>773</v>
          </cell>
          <cell r="B738" t="str">
            <v>Naosa</v>
          </cell>
          <cell r="C738" t="str">
            <v>Hugo Noriega</v>
          </cell>
          <cell r="D738" t="str">
            <v>Av.Adolfo López Mateos Sur #5706, Col. Las Fuentes, C.P. 45070 Zapopan, Jal.</v>
          </cell>
        </row>
        <row r="739">
          <cell r="A739">
            <v>774</v>
          </cell>
          <cell r="B739" t="str">
            <v>Productora de agaves del bajo</v>
          </cell>
          <cell r="C739" t="str">
            <v>Ing.Gilberto Naranjo/Pablo Hernández</v>
          </cell>
          <cell r="D739" t="str">
            <v>Paseo de Gilberto #64, Col.Jardines de Bugambilias, C.P. 28978 Villa de Alvarez, Colima</v>
          </cell>
        </row>
        <row r="740">
          <cell r="A740">
            <v>775</v>
          </cell>
          <cell r="B740" t="str">
            <v>Casa Tradición S.A. de C.V.</v>
          </cell>
          <cell r="C740" t="str">
            <v>Osmar Castro</v>
          </cell>
          <cell r="D740" t="str">
            <v>Carretera Tepatitlán Arandas km 9+316, C.P. 47600 Tepatitlán, Jalisco</v>
          </cell>
        </row>
        <row r="741">
          <cell r="A741">
            <v>776</v>
          </cell>
          <cell r="B741" t="str">
            <v>Nanoblast</v>
          </cell>
          <cell r="C741" t="str">
            <v>Alexis Aluiter</v>
          </cell>
          <cell r="D741" t="str">
            <v>Av.Enrique Díaz de León #836, Artesanos, Guadalajara, Jalisco</v>
          </cell>
        </row>
        <row r="742">
          <cell r="A742">
            <v>777</v>
          </cell>
          <cell r="B742" t="str">
            <v xml:space="preserve">Ernesto Manuel Millán Jacobo </v>
          </cell>
          <cell r="C742" t="str">
            <v>Francisco Jacobo</v>
          </cell>
          <cell r="D742" t="str">
            <v>Ruiseñor #1235, Morelos C.P. 44910, Guadalajara, Jalisco</v>
          </cell>
        </row>
        <row r="743">
          <cell r="A743">
            <v>778</v>
          </cell>
          <cell r="B743" t="str">
            <v>SMR Automotive Vision Systems México</v>
          </cell>
          <cell r="C743" t="str">
            <v>Ing. Martín De la Rosa</v>
          </cell>
          <cell r="D743" t="str">
            <v>Circuito México #260 Parque Industrial Tres Naciones, San Luis Potosí, 78395, Mx.</v>
          </cell>
        </row>
        <row r="744">
          <cell r="A744">
            <v>779</v>
          </cell>
          <cell r="B744" t="str">
            <v xml:space="preserve">Gas Natural del Noreste S.A. de C.V. </v>
          </cell>
          <cell r="C744" t="str">
            <v>Ing. Cristian Jose Sanchez Romero</v>
          </cell>
          <cell r="D744" t="str">
            <v>Av. Juan F. Brittinham #311Int. 3, Cd. Industrial, Torreón, Coahuila, C.P. 27019</v>
          </cell>
        </row>
        <row r="745">
          <cell r="A745">
            <v>780</v>
          </cell>
          <cell r="B745" t="str">
            <v>Henkel Capital</v>
          </cell>
          <cell r="C745" t="str">
            <v>Ing. Omar Figueroa</v>
          </cell>
          <cell r="D745" t="str">
            <v>Juan Gil Preciado #4000 ABCD, Col. El Tigre, C.P. 45203 Zapopan, Jalisco.</v>
          </cell>
        </row>
        <row r="746">
          <cell r="A746">
            <v>781</v>
          </cell>
          <cell r="B746" t="str">
            <v>Mantenimiento de Aeronaves y Soporte de Línea SL</v>
          </cell>
          <cell r="C746" t="str">
            <v>Adrián Martín</v>
          </cell>
          <cell r="D746" t="str">
            <v>Av. De la Hispanidad S/N Zona Industrial Aeroportuario C.P. 28042, Madrid</v>
          </cell>
        </row>
        <row r="747">
          <cell r="A747">
            <v>782</v>
          </cell>
          <cell r="B747" t="str">
            <v>Twilight S.A. de C.V.</v>
          </cell>
          <cell r="C747" t="str">
            <v xml:space="preserve">Erika Gonzalez </v>
          </cell>
          <cell r="D747" t="str">
            <v>Ofna #704 Edificio Connexity, C.P.64920 Monterrey, Nuevo León</v>
          </cell>
        </row>
        <row r="748">
          <cell r="A748">
            <v>783</v>
          </cell>
          <cell r="B748" t="str">
            <v>Laboratorio Sophia</v>
          </cell>
          <cell r="C748" t="str">
            <v>Ricardo Gutierrez</v>
          </cell>
          <cell r="D748" t="str">
            <v>Circuito de las Amapolas #16, Col.Pinar de las Palomas, C.P. 45406 Tonalá, Jalisco</v>
          </cell>
        </row>
        <row r="749">
          <cell r="A749">
            <v>784</v>
          </cell>
          <cell r="B749" t="str">
            <v>Margrey</v>
          </cell>
          <cell r="C749" t="str">
            <v>Gonzalo Ibarra</v>
          </cell>
          <cell r="D749" t="str">
            <v>Av.Enrique Díaz de León Nte.</v>
          </cell>
        </row>
        <row r="750">
          <cell r="A750">
            <v>785</v>
          </cell>
          <cell r="B750" t="str">
            <v>Instituto Mexicano del Seguro Social</v>
          </cell>
          <cell r="D750" t="str">
            <v>Calle Primera Poniente #34, Col.Hacienda Palomino, Arandas Jalisco, C.P. 47785</v>
          </cell>
        </row>
        <row r="751">
          <cell r="A751">
            <v>786</v>
          </cell>
          <cell r="B751" t="str">
            <v>RG Laboratorios</v>
          </cell>
          <cell r="C751" t="str">
            <v>Daniel Araiza</v>
          </cell>
          <cell r="D751" t="str">
            <v>Mariano Bárcenas #1327, Col. La Normal Guadalajara, Jalisco</v>
          </cell>
        </row>
        <row r="752">
          <cell r="A752">
            <v>787</v>
          </cell>
          <cell r="B752" t="str">
            <v>G&amp;W Mexico S de RL de CV</v>
          </cell>
          <cell r="C752" t="str">
            <v>Ing Nestor Zavala</v>
          </cell>
          <cell r="D752" t="str">
            <v>Av del Siglo #190, Zona Industrial Rural, C. P. 78395, San Luis Potosí, San Luis Potosí</v>
          </cell>
        </row>
        <row r="753">
          <cell r="A753">
            <v>788</v>
          </cell>
          <cell r="B753" t="str">
            <v>Cementos Moctezuma</v>
          </cell>
          <cell r="C753" t="str">
            <v>Eleazar Gabriel Aguilera</v>
          </cell>
          <cell r="D753" t="str">
            <v>Periferico Nuevo #5636, C.P. 45686, El Salto, Jalisco</v>
          </cell>
        </row>
        <row r="754">
          <cell r="A754">
            <v>789</v>
          </cell>
          <cell r="B754" t="str">
            <v>Margrey Industrial S.A. de C.V.</v>
          </cell>
          <cell r="C754"/>
          <cell r="D754" t="str">
            <v>Hacienda de la Calerilla #1150-A, La Gigantera, C.P. 45601, Tlaquepaque, Jalisco</v>
          </cell>
        </row>
        <row r="755">
          <cell r="A755">
            <v>790</v>
          </cell>
          <cell r="B755" t="str">
            <v>Henkel Capital</v>
          </cell>
          <cell r="C755" t="str">
            <v>Ing. Aldaír Loyo</v>
          </cell>
          <cell r="D755" t="str">
            <v>Pedro Martinez Rivas #746, Col. Belenes Norte, C.P.45130, Zapopan</v>
          </cell>
        </row>
        <row r="756">
          <cell r="A756">
            <v>791</v>
          </cell>
          <cell r="B756" t="str">
            <v>Yaliercp S.A. de C.V.</v>
          </cell>
          <cell r="C756" t="str">
            <v>Alberto López</v>
          </cell>
          <cell r="D756" t="str">
            <v>Federalismo Norte #1651, San Miguel, C.P. 44260, Guadalajara, Jalisco</v>
          </cell>
        </row>
        <row r="757">
          <cell r="A757">
            <v>792</v>
          </cell>
          <cell r="B757" t="str">
            <v>Bombardier Inc.</v>
          </cell>
          <cell r="D757" t="str">
            <v>Avenida Alejandro Dumas #11321, Complejo Industrial Chihuahua, C.P. 31136, Chihuahua, Chihuahua</v>
          </cell>
        </row>
        <row r="758">
          <cell r="A758">
            <v>793</v>
          </cell>
          <cell r="B758" t="str">
            <v>Lorencal/Janeth Parral Plascencia</v>
          </cell>
          <cell r="C758" t="str">
            <v>David Alejandro Gama Martínez</v>
          </cell>
          <cell r="D758" t="str">
            <v xml:space="preserve">Luís C. Medina #1821, Col. Ford Auditorio </v>
          </cell>
        </row>
        <row r="759">
          <cell r="A759">
            <v>794</v>
          </cell>
          <cell r="B759" t="str">
            <v>Cierres Automáticos National</v>
          </cell>
          <cell r="D759" t="str">
            <v xml:space="preserve"> CalleParaíso #1681, C.P 44900, Guadalajara, Jalisco</v>
          </cell>
        </row>
        <row r="760">
          <cell r="A760">
            <v>795</v>
          </cell>
          <cell r="B760" t="str">
            <v>Productos la Sauceda</v>
          </cell>
          <cell r="C760" t="str">
            <v>Juan José Arambula</v>
          </cell>
          <cell r="D760" t="str">
            <v>Lagos de Moreno-León km 7, C.P. 4710, Lagos de Moreno, Jalisco</v>
          </cell>
        </row>
        <row r="761">
          <cell r="A761">
            <v>796</v>
          </cell>
          <cell r="B761" t="str">
            <v>Okko Super Foods</v>
          </cell>
          <cell r="C761" t="str">
            <v>LCA. María Alejandra Sigarroa Reinoso</v>
          </cell>
          <cell r="D761" t="str">
            <v>Club Atlas Nte. #535 Int. 1,3,40 C.P. 45623, San Pedro, Tlaquepaque, Jalisco</v>
          </cell>
        </row>
        <row r="762">
          <cell r="A762">
            <v>797</v>
          </cell>
          <cell r="B762" t="str">
            <v xml:space="preserve">Corrugados Heavy Box </v>
          </cell>
          <cell r="C762" t="str">
            <v>Gerson Silvestre Recinos</v>
          </cell>
          <cell r="D762" t="str">
            <v>Lago Cajititlán #201, Col. Nicolás R. Casillas , C.P. 45645 Tlajomulco, Jalisco</v>
          </cell>
        </row>
        <row r="763">
          <cell r="A763">
            <v>798</v>
          </cell>
          <cell r="B763" t="str">
            <v>Bemet Ingeniería y Equipo Médico SA de CV</v>
          </cell>
          <cell r="D763" t="str">
            <v>Nebulosa #2823, Col. Jardnies del Bosque, CP 44520, Guadalajara, Jalisco</v>
          </cell>
        </row>
        <row r="764">
          <cell r="A764">
            <v>799</v>
          </cell>
          <cell r="B764" t="str">
            <v>AT2E México</v>
          </cell>
          <cell r="C764" t="str">
            <v>Fernando Luengas</v>
          </cell>
          <cell r="D764" t="str">
            <v>Av. 5 de febrero #795, Suite E, Complejo CE5, C.P. 71637, Querétaro, Qro.</v>
          </cell>
        </row>
        <row r="765">
          <cell r="A765">
            <v>800</v>
          </cell>
          <cell r="B765" t="str">
            <v>Medan</v>
          </cell>
          <cell r="C765" t="str">
            <v>Israel Cruz</v>
          </cell>
          <cell r="D765" t="str">
            <v>Carr. El Verde #9038, El Castillo, C.P. 47993 El Salto, Jalisco</v>
          </cell>
        </row>
        <row r="766">
          <cell r="A766">
            <v>801</v>
          </cell>
          <cell r="B766" t="str">
            <v>Multisabores</v>
          </cell>
          <cell r="C766" t="str">
            <v>Ing. Alberto Alvarez</v>
          </cell>
          <cell r="D766" t="str">
            <v>Calzada de las Palmas #133, Cd. Granja, C.P. 45010 Zapopan, Jalisco</v>
          </cell>
        </row>
        <row r="767">
          <cell r="A767">
            <v>802</v>
          </cell>
          <cell r="B767" t="str">
            <v>Consultoría Biomedica Integral</v>
          </cell>
          <cell r="C767" t="str">
            <v>Edgar Alvarez</v>
          </cell>
          <cell r="D767" t="str">
            <v>Rodrigo de Triana #2920, Col Vallarta Norte, CP 44690, Guadalajara, Jalisco</v>
          </cell>
        </row>
        <row r="768">
          <cell r="A768">
            <v>803</v>
          </cell>
          <cell r="B768" t="str">
            <v>Pharmacos Exacta</v>
          </cell>
          <cell r="C768" t="str">
            <v>Magaly Mannarrez</v>
          </cell>
          <cell r="D768" t="str">
            <v>Av. Del Niño Obrero #651, Chapalita Sur, C.P. 45040 Zapopan, Jalisco</v>
          </cell>
        </row>
        <row r="769">
          <cell r="A769">
            <v>804</v>
          </cell>
          <cell r="B769" t="str">
            <v>Chivas de Corazón</v>
          </cell>
          <cell r="C769" t="str">
            <v>Ximena Gallegos</v>
          </cell>
          <cell r="D769" t="str">
            <v xml:space="preserve">Circuito JVC #2800, Col. El Bajío, Zapopan, Jalisco </v>
          </cell>
        </row>
        <row r="770">
          <cell r="A770">
            <v>805</v>
          </cell>
          <cell r="B770" t="str">
            <v xml:space="preserve">Tecnología y diseño industrial Sapi S.A. de C.V. </v>
          </cell>
          <cell r="C770" t="str">
            <v>Pedro Pimienta</v>
          </cell>
          <cell r="D770" t="str">
            <v>Volcán Paricutín #6611, Col. El Colli, C.P. 45070, Zapopan, Jalisco</v>
          </cell>
        </row>
        <row r="771">
          <cell r="A771">
            <v>806</v>
          </cell>
          <cell r="B771" t="str">
            <v xml:space="preserve">Fire Technologies and Loss Prevention Specialists </v>
          </cell>
          <cell r="C771" t="str">
            <v>César Sánchez</v>
          </cell>
          <cell r="D771" t="str">
            <v>Av. Adolfo López Mateos Sur #1450 Piso 3 Int.3A, C.P. 45643, Tlajomulco de Zuñiga, Jalisco</v>
          </cell>
        </row>
        <row r="772">
          <cell r="A772">
            <v>807</v>
          </cell>
          <cell r="B772" t="str">
            <v>Trabba Prefabricados Concretos</v>
          </cell>
          <cell r="D772" t="str">
            <v>Primavera #3155 Int.22, Col. Parques del Bosque, C.P. 45609, Tlaquepaque, Jalisco</v>
          </cell>
        </row>
        <row r="773">
          <cell r="A773">
            <v>808</v>
          </cell>
          <cell r="B773" t="str">
            <v>Centro del Riñón Guadalajara</v>
          </cell>
          <cell r="C773" t="str">
            <v>Ing. Victor Pérez</v>
          </cell>
          <cell r="D773" t="str">
            <v>Av. Plan de San Luis #1776, Col. Lomas del Country, C.P.44610, Guadalajara, Jalisco</v>
          </cell>
        </row>
        <row r="774">
          <cell r="A774">
            <v>809</v>
          </cell>
          <cell r="B774" t="str">
            <v xml:space="preserve">Lapisa S.A. de C.V. </v>
          </cell>
          <cell r="C774" t="str">
            <v>Hernan Contreras</v>
          </cell>
          <cell r="D774" t="str">
            <v>Carretrera La Piedad, Guadalajara km 5.5, Col. Camelinas, La Piedad, Michoacán</v>
          </cell>
        </row>
        <row r="775">
          <cell r="A775">
            <v>810</v>
          </cell>
          <cell r="B775" t="str">
            <v>Mechanical Pipe Systems</v>
          </cell>
          <cell r="D775" t="str">
            <v>Camino a la Pesca S/N, Col. Transbordo, C.P. 94965, General Miguel Alemán (Potrero Nuevo), Atoyac, Veracruz.</v>
          </cell>
        </row>
        <row r="776">
          <cell r="A776">
            <v>811</v>
          </cell>
          <cell r="B776" t="str">
            <v>Alpina Productos Alimenticios S.A.</v>
          </cell>
          <cell r="C776" t="str">
            <v>Hector Rodriguez</v>
          </cell>
          <cell r="D776" t="str">
            <v>Km.3 Via, El Rosal-Facatativá</v>
          </cell>
        </row>
        <row r="777">
          <cell r="A777">
            <v>812</v>
          </cell>
          <cell r="B777" t="str">
            <v xml:space="preserve">Henkel Capital </v>
          </cell>
          <cell r="C777" t="str">
            <v>Ing.Alicia Ramirez</v>
          </cell>
          <cell r="D777" t="str">
            <v>Pedro Martinez Rivas #746, Col. Belenes Norte, C.P. 45150, Zapopan, Jalisco</v>
          </cell>
        </row>
        <row r="778">
          <cell r="A778">
            <v>813</v>
          </cell>
          <cell r="B778" t="str">
            <v>Perfecta García Hernández</v>
          </cell>
          <cell r="C778" t="str">
            <v xml:space="preserve">Ing. Jorge Ríos </v>
          </cell>
          <cell r="D778" t="str">
            <v>San Fco. #605, Santa Mónica Juárez, C.P. 67250, Nuevo León, Nuevo León</v>
          </cell>
        </row>
        <row r="779">
          <cell r="A779">
            <v>814</v>
          </cell>
          <cell r="B779" t="str">
            <v>Bio Vimaro CM</v>
          </cell>
          <cell r="D779" t="str">
            <v>Cuahutemoc #250 int A, San Sebastián el Grande, CP 45650, Tlajomulco de Zuñiga, Jalisco</v>
          </cell>
        </row>
        <row r="780">
          <cell r="A780">
            <v>815</v>
          </cell>
          <cell r="B780" t="str">
            <v>Zar Kruse S.A. de C.V.</v>
          </cell>
          <cell r="C780" t="str">
            <v>Alberto Preciado</v>
          </cell>
          <cell r="D780" t="str">
            <v>Cto. Grijalva S/N, Santa Cruz de las Flores, CP 45640, Tlajomulco de Zuñiga, Jalisco</v>
          </cell>
        </row>
        <row r="781">
          <cell r="A781">
            <v>816</v>
          </cell>
          <cell r="B781" t="str">
            <v>Volkswagen de México S.A. De C.V.</v>
          </cell>
          <cell r="C781" t="str">
            <v>Ruben Manuel Aquino Olvera</v>
          </cell>
          <cell r="D781" t="str">
            <v>Av. San Lorenzo Almecatla #16, C.P. 12710, Sanctorum, Puebla</v>
          </cell>
        </row>
        <row r="782">
          <cell r="A782">
            <v>817</v>
          </cell>
          <cell r="B782" t="str">
            <v>Instalacion Y Planeacion Electrica Industrial S de RL de CV</v>
          </cell>
          <cell r="C782" t="str">
            <v>Fernanda Medina</v>
          </cell>
          <cell r="D782" t="str">
            <v>Julio Castellanos #4196, Col. Miravalle, CP 44990, Guadalajara, Jalisco</v>
          </cell>
        </row>
        <row r="783">
          <cell r="A783">
            <v>818</v>
          </cell>
          <cell r="B783" t="str">
            <v>Weidmann Tecnología Eléctrica de México S.A. de C.V.</v>
          </cell>
          <cell r="C783" t="str">
            <v>Ing.José Ángel Fuentes Escobar</v>
          </cell>
          <cell r="D783" t="str">
            <v>Carr. Lib.Prof. Óscar Flores Tapia #304, Col. El Llano, C.P. 25350 Arteaga, Coahuila, México</v>
          </cell>
        </row>
        <row r="784">
          <cell r="A784">
            <v>819</v>
          </cell>
          <cell r="B784" t="str">
            <v>Ignacio Garcia Garcia</v>
          </cell>
          <cell r="C784" t="str">
            <v>Ignacio Garcia</v>
          </cell>
          <cell r="D784" t="str">
            <v>Dr. Manuel Rodriguez Lapuente #85, Huentitan el Bajo, C.P. 44250 Guadalajara, Jalisco</v>
          </cell>
        </row>
        <row r="785">
          <cell r="A785">
            <v>820</v>
          </cell>
          <cell r="B785" t="str">
            <v>Teva Pharma Mexico S.A. de C.V.</v>
          </cell>
          <cell r="C785" t="str">
            <v>IQ. Claudia Ramos</v>
          </cell>
          <cell r="D785" t="str">
            <v>Carretera a Nogales 850, La Venta del Astillero C.P.45220 Zapopan Jalisco</v>
          </cell>
        </row>
        <row r="786">
          <cell r="A786">
            <v>821</v>
          </cell>
          <cell r="B786" t="str">
            <v>Sergio Sebastián Ramirez Gamiño</v>
          </cell>
          <cell r="C786" t="str">
            <v>Sergio Sebastián Ramirez Gamiño</v>
          </cell>
          <cell r="D786" t="str">
            <v>Río Bravo #8, El Paraiso C.P. 28800, Manzanillo, Colima</v>
          </cell>
        </row>
        <row r="787">
          <cell r="A787">
            <v>822</v>
          </cell>
          <cell r="B787" t="str">
            <v>Alimentos &amp; Azúcares</v>
          </cell>
          <cell r="D787" t="str">
            <v>Amapola #1350</v>
          </cell>
        </row>
        <row r="788">
          <cell r="A788">
            <v>823</v>
          </cell>
          <cell r="B788" t="str">
            <v>Proveedora de Servicios S.A. -INGRUP</v>
          </cell>
          <cell r="C788" t="str">
            <v>Belter Marroquin</v>
          </cell>
          <cell r="D788" t="str">
            <v>Calz. Atanasio Tzul 22-41, Cdad. De Guatemala</v>
          </cell>
        </row>
        <row r="789">
          <cell r="A789">
            <v>824</v>
          </cell>
          <cell r="B789" t="str">
            <v>Industrial Aceitera S.A. de C.V.</v>
          </cell>
          <cell r="C789" t="str">
            <v>Rita Avedaño</v>
          </cell>
          <cell r="D789" t="str">
            <v>Prolongación Av. Hidalgo #31, Loa Parajes, 54000 Tlanepantla, Méx. México</v>
          </cell>
        </row>
        <row r="790">
          <cell r="A790">
            <v>825</v>
          </cell>
          <cell r="B790" t="str">
            <v>Compañía Cervecera de Coahuila</v>
          </cell>
          <cell r="C790" t="str">
            <v>Rubén Alejandro Tapia</v>
          </cell>
          <cell r="D790" t="str">
            <v>Carretera 57 Km. 233.2 #85, Nava, Coahuila, C.P. 26170</v>
          </cell>
        </row>
        <row r="791">
          <cell r="A791">
            <v>826</v>
          </cell>
          <cell r="B791" t="str">
            <v>Dulces y Chocolates de Occidente SA de CV</v>
          </cell>
          <cell r="C791" t="str">
            <v>Lourdes Ortega</v>
          </cell>
          <cell r="D791" t="str">
            <v xml:space="preserve">Paseo de la Primavera Oriente #909 lote #79, Parque Funeral Colonias </v>
          </cell>
        </row>
        <row r="792">
          <cell r="A792">
            <v>827</v>
          </cell>
          <cell r="B792" t="str">
            <v>Unidad de Investigación en Salud Sede Gdl (UIS GDL)</v>
          </cell>
          <cell r="C792" t="str">
            <v>Brenda Rabago</v>
          </cell>
          <cell r="D792" t="str">
            <v>Avenida Central #911, Zapopan Jalisco</v>
          </cell>
        </row>
        <row r="793">
          <cell r="A793">
            <v>828</v>
          </cell>
          <cell r="B793" t="str">
            <v>Food Service</v>
          </cell>
          <cell r="C793" t="str">
            <v>Jesús Orlando Guevara</v>
          </cell>
          <cell r="D793" t="str">
            <v>Calle Hermosillo #692, Col. Granja, Nogales, Sonora</v>
          </cell>
        </row>
        <row r="794">
          <cell r="A794">
            <v>829</v>
          </cell>
          <cell r="B794" t="str">
            <v xml:space="preserve">Servicios Enga Ingenierías </v>
          </cell>
          <cell r="C794" t="str">
            <v>Ismael García</v>
          </cell>
          <cell r="D794" t="str">
            <v>Av. San Miguel #399 int. 49 A , San Juan de Ocotan, C.P. 45019 Zapopan, Jalisco</v>
          </cell>
        </row>
        <row r="795">
          <cell r="A795">
            <v>830</v>
          </cell>
          <cell r="B795" t="str">
            <v>Suma Global Pack</v>
          </cell>
          <cell r="C795" t="str">
            <v>Tzidheni Mendivil Omaña</v>
          </cell>
          <cell r="D795" t="str">
            <v>Prol. Pinosuarez #1874, Rinconada de la Azalea, C.P. 45150, Zapopan, Jalisco</v>
          </cell>
        </row>
        <row r="796">
          <cell r="A796">
            <v>831</v>
          </cell>
          <cell r="B796" t="str">
            <v>Mantenimiento a Ductos del Golfo</v>
          </cell>
          <cell r="C796" t="str">
            <v>Veronica Ramirez</v>
          </cell>
          <cell r="D796" t="str">
            <v>Pedro de Alvarado #602</v>
          </cell>
        </row>
        <row r="797">
          <cell r="A797">
            <v>832</v>
          </cell>
          <cell r="B797" t="str">
            <v xml:space="preserve">Procesadora de Ingredientes </v>
          </cell>
          <cell r="D797" t="str">
            <v>Calle 2 #2725, Ferrocarril, C.P. 44440 Guadalajara, Jalisco</v>
          </cell>
        </row>
        <row r="798">
          <cell r="A798">
            <v>833</v>
          </cell>
          <cell r="B798" t="str">
            <v>Concase Logistica</v>
          </cell>
          <cell r="D798" t="str">
            <v>Cto.Oriente Río Grijalva #50 int. 131, Santa Cruz de las Flores C.P. 45640, Tlajomulco de Zúñiga, Jalisco</v>
          </cell>
        </row>
        <row r="799">
          <cell r="A799">
            <v>834</v>
          </cell>
          <cell r="B799" t="str">
            <v xml:space="preserve">Médicos Asociados de la Cruz </v>
          </cell>
          <cell r="C799" t="str">
            <v xml:space="preserve">María Esperanza </v>
          </cell>
          <cell r="D799" t="str">
            <v xml:space="preserve">Isla Margarita #2890, Jardines de la Cruz </v>
          </cell>
        </row>
        <row r="800">
          <cell r="A800">
            <v>835</v>
          </cell>
          <cell r="B800" t="str">
            <v>Promarex</v>
          </cell>
          <cell r="C800" t="str">
            <v>Paulina de la Cruz</v>
          </cell>
          <cell r="D800" t="str">
            <v>Puerto Progreso #11, Parque Industrial Alfredo V. Bonfil, C.P. 82050, Mazatlán, Sinaloa</v>
          </cell>
        </row>
        <row r="801">
          <cell r="A801">
            <v>836</v>
          </cell>
          <cell r="B801" t="str">
            <v>Industrial de Asiento Superior Planta Ojo Caliente</v>
          </cell>
          <cell r="D801" t="str">
            <v>Carr.a San Cristobal S/N, Zona Conurvada, Ojo Caliente, Zacatecas</v>
          </cell>
        </row>
        <row r="802">
          <cell r="A802">
            <v>837</v>
          </cell>
          <cell r="B802" t="str">
            <v>Special Nutrition Group</v>
          </cell>
          <cell r="D802" t="str">
            <v>Av. Aviación #5051-27, San Juan de Ocotlán, Zapopan, Jalisco</v>
          </cell>
        </row>
        <row r="803">
          <cell r="A803">
            <v>838</v>
          </cell>
          <cell r="B803" t="str">
            <v>Industria Pesquera del Sureste</v>
          </cell>
          <cell r="D803" t="str">
            <v>Luis Andrés Molina Belausteguigoitia Calle 81 A, #873, Ciudad Industrial, C.P. 97314 Mérida, Yucatán</v>
          </cell>
        </row>
        <row r="804">
          <cell r="A804">
            <v>839</v>
          </cell>
          <cell r="B804" t="str">
            <v>Mercedes-Benz</v>
          </cell>
          <cell r="C804" t="str">
            <v>Juan Carlos</v>
          </cell>
          <cell r="D804" t="str">
            <v>Av. Adolfo López Mateos Sur #1989, Bugambilias, C.P. 45238 Zapopan, Jalisco</v>
          </cell>
        </row>
        <row r="805">
          <cell r="A805">
            <v>840</v>
          </cell>
          <cell r="B805" t="str">
            <v>Atisa</v>
          </cell>
          <cell r="C805" t="str">
            <v>Yadira Edith Silva</v>
          </cell>
          <cell r="D805" t="str">
            <v>Gavino Varista #1290 Int.10, Col. San Carlos, C.P.44460 Guadalajara, Jalisco</v>
          </cell>
        </row>
        <row r="806">
          <cell r="A806">
            <v>841</v>
          </cell>
          <cell r="B806" t="str">
            <v>Alen del Norte</v>
          </cell>
          <cell r="C806" t="str">
            <v>Ever Ricardo Diaz Mendoza</v>
          </cell>
          <cell r="D806" t="str">
            <v>Blvd. Gustavo Diaz Ordaz #1000, Los Treviño, C.P.66350, Cdad. Santa Catarina, N.L.</v>
          </cell>
        </row>
        <row r="807">
          <cell r="A807">
            <v>842</v>
          </cell>
          <cell r="B807" t="str">
            <v>ALPLA CUATITLÁN</v>
          </cell>
          <cell r="C807" t="str">
            <v>Jessica Juárez</v>
          </cell>
          <cell r="D807" t="str">
            <v>Henry Ford #2 Parque Industrial Cuamatla, C.P.54750, Cuautitlán Izcalli, Mex.</v>
          </cell>
        </row>
        <row r="808">
          <cell r="A808">
            <v>843</v>
          </cell>
          <cell r="B808" t="str">
            <v>Royal Gaskets &amp; Joints</v>
          </cell>
          <cell r="C808" t="str">
            <v>Sandra Hevia</v>
          </cell>
          <cell r="D808" t="str">
            <v>Calle Tlalpan, Manzana 2 lote 16, Barrio San Francisco, C.P.54660, Coyotepec, Estado de México</v>
          </cell>
        </row>
        <row r="809">
          <cell r="A809">
            <v>844</v>
          </cell>
          <cell r="B809" t="str">
            <v>Innovare Especialidaes Quirurgicas</v>
          </cell>
          <cell r="C809" t="str">
            <v>Juan Pablo Cruz Valadez</v>
          </cell>
          <cell r="D809" t="str">
            <v>Av. Verona #7412, Sin Nombre, C.P. 45136, Zapopan, Jalisco</v>
          </cell>
        </row>
        <row r="810">
          <cell r="A810">
            <v>845</v>
          </cell>
          <cell r="B810" t="str">
            <v>Totofast</v>
          </cell>
          <cell r="C810" t="str">
            <v>Natalia Sesma</v>
          </cell>
          <cell r="D810" t="str">
            <v>Palmera #208, Paraisos del Colli, C.P. 45069 Zapopan, Jalisco</v>
          </cell>
        </row>
        <row r="811">
          <cell r="A811">
            <v>846</v>
          </cell>
          <cell r="B811" t="str">
            <v>Urrea Herramientas Profesionales S.A. de C.V.</v>
          </cell>
          <cell r="C811" t="str">
            <v>Fernanda Alvarez</v>
          </cell>
          <cell r="D811" t="str">
            <v>Av. 5 de Febrero km11, El Catillo, C.P. 45680, El Salto, Jalisco</v>
          </cell>
        </row>
        <row r="812">
          <cell r="A812">
            <v>847</v>
          </cell>
          <cell r="B812" t="str">
            <v>Zapotlán Residuos S.A. De C.V.</v>
          </cell>
          <cell r="D812" t="str">
            <v>Av. Tizapán #1750, Jardines de Sta María, CP 45606</v>
          </cell>
        </row>
        <row r="813">
          <cell r="A813">
            <v>848</v>
          </cell>
          <cell r="B813" t="str">
            <v>Tecnocontrol Jalisco</v>
          </cell>
          <cell r="C813" t="str">
            <v>Ing. Christopher Espinosa Pastrana</v>
          </cell>
          <cell r="D813" t="str">
            <v>Anillo Periferico Poniente #7386, Col. Ciudad Granja, C.P.45010, Zapopan, Jalisco</v>
          </cell>
        </row>
        <row r="814">
          <cell r="A814">
            <v>849</v>
          </cell>
          <cell r="B814" t="str">
            <v xml:space="preserve">Plásticos La Ardilla </v>
          </cell>
          <cell r="C814" t="str">
            <v>Arturo Lira</v>
          </cell>
          <cell r="D814" t="str">
            <v>Av.Paseo del Pacífico #571, Col. Guadalajara Technology Park, C.P. 45222, Zapopan, Jalisco</v>
          </cell>
        </row>
        <row r="815">
          <cell r="A815">
            <v>850</v>
          </cell>
          <cell r="B815" t="str">
            <v>Industrias Caslon S.A. de C.V.</v>
          </cell>
          <cell r="C815" t="str">
            <v>Ing. Alvaro Martínez</v>
          </cell>
          <cell r="D815" t="str">
            <v>Río Tuxcueca #1740,Col. Rosario, C.P. 44870, Guadalajara, Jalisco</v>
          </cell>
        </row>
        <row r="816">
          <cell r="A816">
            <v>851</v>
          </cell>
          <cell r="B816" t="str">
            <v>Servicios Integrales Portenta</v>
          </cell>
          <cell r="C816" t="str">
            <v>Alicia Castellanos</v>
          </cell>
          <cell r="D816" t="str">
            <v>Isla Filipinas #1948, Jardines de Cruz 2da Sección, C.P. 44950, Guadalajara, Jalisco</v>
          </cell>
        </row>
        <row r="817">
          <cell r="A817">
            <v>852</v>
          </cell>
          <cell r="B817" t="str">
            <v>Grupo Xem</v>
          </cell>
          <cell r="C817" t="str">
            <v>Cynthia Monreal</v>
          </cell>
          <cell r="D817" t="str">
            <v>Laguna de Chapala #40, Col. San Agustín, C.P.45640, Tlajomulco de Zúñiga, Jalisco</v>
          </cell>
        </row>
        <row r="818">
          <cell r="A818">
            <v>853</v>
          </cell>
          <cell r="B818" t="str">
            <v>Caramelos de la Rosa S.A. de C.V.</v>
          </cell>
          <cell r="C818" t="str">
            <v>Alicia Alonso Gomez</v>
          </cell>
          <cell r="D818" t="str">
            <v>Camino a la Calerilla #1550, Colonia Las Palmas, Tlaquepaque, Jalisco</v>
          </cell>
        </row>
        <row r="819">
          <cell r="A819">
            <v>854</v>
          </cell>
          <cell r="B819" t="str">
            <v>Farmacia Santiago-Barajas</v>
          </cell>
          <cell r="C819" t="str">
            <v>Catalina Plasencia Barajas</v>
          </cell>
          <cell r="D819" t="str">
            <v>San Felipe #554, Guadalajara Centro, Guadalajara, Jalisco</v>
          </cell>
        </row>
        <row r="820">
          <cell r="A820">
            <v>855</v>
          </cell>
          <cell r="B820" t="str">
            <v>Luz Eterna</v>
          </cell>
          <cell r="C820" t="str">
            <v xml:space="preserve">José Manuel </v>
          </cell>
          <cell r="D820" t="str">
            <v>Calle 5, Colonia Industrial, C.P. 44930, Guadalajara, Jalisco</v>
          </cell>
        </row>
        <row r="821">
          <cell r="A821">
            <v>856</v>
          </cell>
          <cell r="B821" t="str">
            <v>CIP Sanitization Products</v>
          </cell>
          <cell r="C821" t="str">
            <v>Jesús Casillas Murillo</v>
          </cell>
          <cell r="D821" t="str">
            <v>Av. Siglo 21 #50-116, Tlajomulco de Zuñiga C.P. 45640, Tlajomulco, Jalisco</v>
          </cell>
        </row>
        <row r="822">
          <cell r="A822">
            <v>857</v>
          </cell>
          <cell r="B822" t="str">
            <v>Sazón Natural</v>
          </cell>
          <cell r="C822" t="str">
            <v>Carlos Alarcón</v>
          </cell>
          <cell r="D822" t="str">
            <v>Av. San Miguel #399, int. San Eduardo 86, C.P.45019, Zapopan, Jalisco</v>
          </cell>
        </row>
        <row r="823">
          <cell r="A823">
            <v>858</v>
          </cell>
          <cell r="B823" t="str">
            <v>José Antonio Briseño Ortega</v>
          </cell>
          <cell r="C823" t="str">
            <v>José Antonio Briseño</v>
          </cell>
          <cell r="D823" t="str">
            <v>Mica #12, Lomas de Cantera Naucalpan, C.P. 53470, Juarez, México</v>
          </cell>
        </row>
        <row r="824">
          <cell r="A824">
            <v>859</v>
          </cell>
          <cell r="B824" t="str">
            <v>Fraenkische Industrial Pipes México S.A. de C.V.</v>
          </cell>
          <cell r="C824" t="str">
            <v>Ing. Alfredo Ríos</v>
          </cell>
          <cell r="D824" t="str">
            <v>Av. Paraíso #405, Parque Industrial y de Negocios Las Colinas, C.P.32670 , Silao, Gto.</v>
          </cell>
        </row>
        <row r="825">
          <cell r="A825">
            <v>860</v>
          </cell>
          <cell r="B825" t="str">
            <v>Dünnpharma</v>
          </cell>
          <cell r="D825" t="str">
            <v>Cda. De Islote #102, Las Águilas, Álvaro Obregón, C.P. 01710, Cd. De México</v>
          </cell>
        </row>
        <row r="826">
          <cell r="A826">
            <v>861</v>
          </cell>
          <cell r="B826" t="str">
            <v>Agroetika</v>
          </cell>
          <cell r="D826" t="str">
            <v>Privada Bugambilias #14, Cd. La Florida, Zapopan, Jalisco, C.P.45234</v>
          </cell>
        </row>
        <row r="827">
          <cell r="A827">
            <v>862</v>
          </cell>
          <cell r="B827" t="str">
            <v xml:space="preserve">Soporte Eléctrico Internacional </v>
          </cell>
          <cell r="C827" t="str">
            <v>Omar Garnica</v>
          </cell>
          <cell r="D827" t="str">
            <v>Juan Palomar y Arias #439 int.101, C.P.44670, Guadalajara, Jalisco</v>
          </cell>
        </row>
        <row r="828">
          <cell r="A828">
            <v>863</v>
          </cell>
          <cell r="B828" t="str">
            <v>Sootecsa</v>
          </cell>
          <cell r="C828" t="str">
            <v>Yadira Romero</v>
          </cell>
          <cell r="D828" t="str">
            <v>Privada del Acero #2, Parque Industrial Cimeg, Col.El Castillo, C.P. 45680, El Salto, Jalisco</v>
          </cell>
        </row>
        <row r="829">
          <cell r="A829">
            <v>864</v>
          </cell>
          <cell r="B829" t="str">
            <v>Sanwas Screen</v>
          </cell>
          <cell r="C829" t="str">
            <v>José Gómez</v>
          </cell>
          <cell r="D829" t="str">
            <v>Av.Dr. Angel Leaño #401, mod 2 nave 17, C.P. 48200, Zapopan, Jalisco</v>
          </cell>
        </row>
        <row r="830">
          <cell r="A830">
            <v>865</v>
          </cell>
          <cell r="B830" t="str">
            <v>Carso</v>
          </cell>
          <cell r="C830" t="str">
            <v>Sergio Eduardo Rojo</v>
          </cell>
          <cell r="D830" t="str">
            <v>Calle 5 #899, Zona Industrial, C.P. 44940, Guadalajara, Jalisco</v>
          </cell>
        </row>
        <row r="831">
          <cell r="A831">
            <v>866</v>
          </cell>
          <cell r="B831" t="str">
            <v>Westrock</v>
          </cell>
          <cell r="C831" t="str">
            <v xml:space="preserve">Ing.Marco Antonio García Cruz </v>
          </cell>
          <cell r="D831" t="str">
            <v>Av. Dr. Angel Leaño #401, Los Robles, Zapopan, Jalisco</v>
          </cell>
        </row>
        <row r="832">
          <cell r="A832">
            <v>867</v>
          </cell>
          <cell r="B832" t="str">
            <v>Enalia</v>
          </cell>
          <cell r="C832" t="str">
            <v>Martha Astudillo</v>
          </cell>
          <cell r="D832" t="str">
            <v>Carrera 23 #13-203 Acopi Parcelacion la Y Bodega 1</v>
          </cell>
        </row>
        <row r="833">
          <cell r="A833">
            <v>868</v>
          </cell>
          <cell r="B833" t="str">
            <v>Industrializadora Oleofinos</v>
          </cell>
          <cell r="C833" t="str">
            <v>Iván Herrera</v>
          </cell>
          <cell r="D833" t="str">
            <v>Calle Fco. Montejano Palacios No. 25, Venta del Astillero, Zapopan, Jalisco</v>
          </cell>
        </row>
        <row r="834">
          <cell r="A834">
            <v>869</v>
          </cell>
          <cell r="B834" t="str">
            <v>Unilever Manufactura S.A. de R.L. de C.V.</v>
          </cell>
          <cell r="C834" t="str">
            <v>Tania García</v>
          </cell>
          <cell r="D834" t="str">
            <v>Calle Talismán #210, Col. Tres Estrellas, C.P. 07820, Ciudad de México, CDMX</v>
          </cell>
        </row>
        <row r="835">
          <cell r="A835">
            <v>870</v>
          </cell>
          <cell r="B835" t="str">
            <v>Jaguar Land Rover Acueducto</v>
          </cell>
          <cell r="C835" t="str">
            <v>Mario Aguilar</v>
          </cell>
          <cell r="D835" t="str">
            <v>Av. Acueducto #5559, C.P. 45116, Zapopan, Jalisco</v>
          </cell>
        </row>
        <row r="836">
          <cell r="A836">
            <v>871</v>
          </cell>
          <cell r="B836" t="str">
            <v>Nouvel</v>
          </cell>
          <cell r="C836" t="str">
            <v>Claudia Caudillo</v>
          </cell>
          <cell r="D836" t="str">
            <v>Gral. Agustín Millán #10, San Andrés Atoto, CP 53370, Naucalpan de Juarez, Mexico</v>
          </cell>
        </row>
        <row r="837">
          <cell r="A837">
            <v>872</v>
          </cell>
          <cell r="B837" t="str">
            <v>Hidraulicos Carvajal</v>
          </cell>
          <cell r="C837" t="str">
            <v>Leonardo Carvajal</v>
          </cell>
          <cell r="D837" t="str">
            <v>Periferico Poniente #2790, Paraisos del Colli, C.P. 45069, Zapopan, Jalisco</v>
          </cell>
        </row>
        <row r="838">
          <cell r="A838">
            <v>873</v>
          </cell>
          <cell r="B838" t="str">
            <v>Grupo AGC</v>
          </cell>
          <cell r="C838" t="str">
            <v>Lester Alejandro Moreno Moreno</v>
          </cell>
          <cell r="D838" t="str">
            <v>Av. Lazaro Cardenas #2825, Alamo Industrial, C.P. 45593, Tlaquepaque, Jalisco</v>
          </cell>
        </row>
        <row r="839">
          <cell r="A839">
            <v>874</v>
          </cell>
          <cell r="B839" t="str">
            <v>Food Microbiology Laboratories</v>
          </cell>
          <cell r="C839" t="str">
            <v>Cristian Juarez</v>
          </cell>
          <cell r="D839" t="str">
            <v>Fundición #2144 Col. Parque Industrial El Alamo, C.P.44490, Guadalajara, Jalisco</v>
          </cell>
        </row>
        <row r="840">
          <cell r="A840">
            <v>875</v>
          </cell>
          <cell r="B840" t="str">
            <v>Analisis Predictivos de Maquinaria</v>
          </cell>
          <cell r="C840" t="str">
            <v>Ivet Díaz</v>
          </cell>
          <cell r="D840" t="str">
            <v>Aureliano L. Gallardo #232 Col. Ladrón de Guevara, C.P. 44600, Guadalajara, Jalisco</v>
          </cell>
        </row>
        <row r="841">
          <cell r="A841">
            <v>876</v>
          </cell>
          <cell r="B841" t="str">
            <v xml:space="preserve">ALPLA México S.A. de C.V. </v>
          </cell>
          <cell r="C841" t="str">
            <v>José Erick Franco García</v>
          </cell>
          <cell r="D841" t="str">
            <v>Av. Insurgentes 30, Texcacoa, C.P. 54600 Tepotzotlán, Méx.</v>
          </cell>
        </row>
        <row r="842">
          <cell r="A842">
            <v>877</v>
          </cell>
          <cell r="B842" t="str">
            <v>ALPLA San Cristobal de las Casas</v>
          </cell>
          <cell r="C842" t="str">
            <v>Ana Gomez</v>
          </cell>
          <cell r="D842" t="str">
            <v>Periferico Norte, Barrio de Fatima, 29267, San Cristobal de las Casas, Chiapas</v>
          </cell>
        </row>
        <row r="843">
          <cell r="A843">
            <v>878</v>
          </cell>
          <cell r="B843" t="str">
            <v>Megaventilación</v>
          </cell>
          <cell r="C843" t="str">
            <v>Julio Pacheco</v>
          </cell>
          <cell r="D843" t="str">
            <v>San Cristobal #130, Col. Zoquipan, C.P. 45170, Zapopan, Jalisco</v>
          </cell>
        </row>
        <row r="844">
          <cell r="A844">
            <v>879</v>
          </cell>
          <cell r="B844" t="str">
            <v>CM-CEMENAV/Central de Mezclas Oncológicas del Centro Médico Naval</v>
          </cell>
          <cell r="D844" t="str">
            <v>Av. H. Escuela Naval Militar #745, Coapa PresidentesEjidales, 1ra Sección, Coyoacán, C.P.04470, Ciudad de México, CDMX</v>
          </cell>
        </row>
        <row r="845">
          <cell r="A845">
            <v>880</v>
          </cell>
          <cell r="B845" t="str">
            <v>José Hugo Vasquez Hernandez</v>
          </cell>
          <cell r="C845" t="str">
            <v>José Hugo Vasquez Hdz.</v>
          </cell>
          <cell r="D845" t="str">
            <v>Pergamino #3, Col. Los Cafetales, C.P.91637, Emiliano Zapata, Veracruz</v>
          </cell>
        </row>
        <row r="846">
          <cell r="A846">
            <v>881</v>
          </cell>
          <cell r="B846" t="str">
            <v>Medam</v>
          </cell>
          <cell r="C846" t="str">
            <v>Enoc Meneses</v>
          </cell>
          <cell r="D846" t="str">
            <v>Carr. El Verde #9038,El Castillo, El Salto Jalisco,C.P. 47993</v>
          </cell>
        </row>
        <row r="847">
          <cell r="A847">
            <v>882</v>
          </cell>
          <cell r="B847" t="str">
            <v>Henkel Capital</v>
          </cell>
          <cell r="C847" t="str">
            <v>Ing. Omar Figueroa</v>
          </cell>
          <cell r="D847" t="str">
            <v>Av. Juan Gil Preciado, Nuevo México, C.P. 45138, Zapopan</v>
          </cell>
        </row>
        <row r="848">
          <cell r="A848">
            <v>883</v>
          </cell>
          <cell r="B848" t="str">
            <v>ALPLA México SA de CV</v>
          </cell>
          <cell r="C848" t="str">
            <v>Eliseo Alejandro Vargas Adrían</v>
          </cell>
          <cell r="D848" t="str">
            <v>Lote 2 de la Sub. M-4, Parque Industrial Exportec I, Blvd Miguel Alemán, KM7 Toluca, Estado de México C.P. 50200</v>
          </cell>
        </row>
        <row r="849">
          <cell r="A849">
            <v>884</v>
          </cell>
          <cell r="B849" t="str">
            <v>Capymet</v>
          </cell>
          <cell r="C849" t="str">
            <v>Jassiel Mercado</v>
          </cell>
          <cell r="D849" t="str">
            <v>Calle Niebla #3612, Col. Nuevo Amanecer, C.P. 21378, Mexicali, Baja California</v>
          </cell>
        </row>
        <row r="850">
          <cell r="A850">
            <v>885</v>
          </cell>
          <cell r="B850" t="str">
            <v>Saleiko Industrial</v>
          </cell>
          <cell r="C850" t="str">
            <v>Diego Rodriguez</v>
          </cell>
          <cell r="D850" t="str">
            <v>Carretera a Zalamea Km 3 Local 8, C.P.47910, La Barca, Jalisco</v>
          </cell>
        </row>
        <row r="851">
          <cell r="A851">
            <v>886</v>
          </cell>
          <cell r="B851" t="str">
            <v>IPRODISA</v>
          </cell>
          <cell r="C851" t="str">
            <v>Arturo Rios</v>
          </cell>
          <cell r="D851" t="str">
            <v>Camino a Santa Cruz del Valle #2439, Tlaquepaque, Jalisco</v>
          </cell>
        </row>
        <row r="852">
          <cell r="A852">
            <v>887</v>
          </cell>
          <cell r="B852" t="str">
            <v>Laminex</v>
          </cell>
          <cell r="C852" t="str">
            <v>Bernardo Cortés</v>
          </cell>
          <cell r="D852" t="str">
            <v>Av. Cañas #3686, Col. La Nogalera, C.P.44470, Guadalajara, Jalisco</v>
          </cell>
        </row>
        <row r="853">
          <cell r="A853">
            <v>888</v>
          </cell>
          <cell r="B853" t="str">
            <v>IDSAA Technologies</v>
          </cell>
          <cell r="D853" t="str">
            <v>Cordoba #2562, Col. Providencia, C.P.44630, Guadalajara, Jalisco</v>
          </cell>
        </row>
        <row r="854">
          <cell r="A854">
            <v>889</v>
          </cell>
          <cell r="B854" t="str">
            <v>Omar Oscar Papaqui Torres</v>
          </cell>
          <cell r="C854" t="str">
            <v>Omar Oscar Papaqui Torres</v>
          </cell>
          <cell r="D854" t="str">
            <v>20 Oriente #1007, Col. JesúsTlatenpa, C.P.72770, San Pedro Cholula, Puebla</v>
          </cell>
        </row>
        <row r="855">
          <cell r="A855">
            <v>890</v>
          </cell>
          <cell r="B855" t="str">
            <v>IGSA Medical S.A. de C.V.</v>
          </cell>
          <cell r="D855" t="str">
            <v>Prolongación Paeo de la Reforma #2977, Col. La Rosita, Cuajimalpa de Morelos, C.P. 05000, CDMX</v>
          </cell>
        </row>
        <row r="856">
          <cell r="A856">
            <v>891</v>
          </cell>
          <cell r="B856" t="str">
            <v>Sandvik</v>
          </cell>
          <cell r="C856" t="str">
            <v>Sandra Bautista</v>
          </cell>
          <cell r="D856" t="str">
            <v>Av. Aviación #1002, bod 15, C.P. 45019, Zapopan, Jalisco</v>
          </cell>
        </row>
        <row r="857">
          <cell r="A857">
            <v>892</v>
          </cell>
          <cell r="B857" t="str">
            <v>JATCO Mexico SA de CV</v>
          </cell>
          <cell r="D857" t="str">
            <v>Boulevard al Aeropuerto Federal Jesús Terán de Aguascalientes, km 2+200 mts., Ejido de Peñuelas, C.P. 20340, Aguascalientes, Aguascalientes.</v>
          </cell>
        </row>
        <row r="858">
          <cell r="A858">
            <v>893</v>
          </cell>
          <cell r="B858" t="str">
            <v>Maquinaria pesada Nirsa</v>
          </cell>
          <cell r="D858" t="str">
            <v>Carr. Carmen-Puerto Real S/N, Col. Reubicación C.P. 24327, Carmen, Campeche</v>
          </cell>
        </row>
        <row r="859">
          <cell r="A859">
            <v>894</v>
          </cell>
          <cell r="B859" t="str">
            <v>Gena Agropecuaria</v>
          </cell>
          <cell r="D859" t="str">
            <v>Morelos #701, San Antonio el Alto, C.P.47640, Tepatitlán, Jalisco</v>
          </cell>
        </row>
        <row r="860">
          <cell r="A860">
            <v>895</v>
          </cell>
          <cell r="B860" t="str">
            <v>La Empresa de los Cien Años</v>
          </cell>
          <cell r="C860" t="str">
            <v>Jaime Perez</v>
          </cell>
          <cell r="D860" t="str">
            <v>Av. Patria 1201, Uag, 45110 Zapopan, Jal.</v>
          </cell>
        </row>
        <row r="861">
          <cell r="A861">
            <v>896</v>
          </cell>
          <cell r="B861" t="str">
            <v>Nissan Las Fuentes</v>
          </cell>
          <cell r="C861" t="str">
            <v>Fernando Colmenares</v>
          </cell>
          <cell r="D861" t="str">
            <v>Av. Lopez Mateos Sur #6001, Zapopan, Jalisco</v>
          </cell>
        </row>
        <row r="862">
          <cell r="A862">
            <v>897</v>
          </cell>
          <cell r="B862" t="str">
            <v>Sorimtec</v>
          </cell>
          <cell r="D862" t="str">
            <v>Calle Piñón #88, Lomas de San Mateo, C.P.53200, Naucalpan de Juarez, México</v>
          </cell>
        </row>
        <row r="863">
          <cell r="A863">
            <v>898</v>
          </cell>
          <cell r="B863" t="str">
            <v>Mederi Lab</v>
          </cell>
          <cell r="D863" t="str">
            <v>Metalurgia #2820, Col. Alamo Industrial, C.P.45593, Tlaquepaque, Jalisco</v>
          </cell>
        </row>
        <row r="864">
          <cell r="A864">
            <v>899</v>
          </cell>
          <cell r="B864" t="str">
            <v>Medikal Muneris</v>
          </cell>
          <cell r="D864" t="str">
            <v>Av. Hidalgo #2993, Col. Vallarta Norte, C.P.44690, Guadalajara, Jalisco</v>
          </cell>
        </row>
        <row r="865">
          <cell r="A865">
            <v>900</v>
          </cell>
          <cell r="B865" t="str">
            <v>CLITEYC</v>
          </cell>
          <cell r="C865" t="str">
            <v>Francisco Díaz</v>
          </cell>
          <cell r="D865" t="str">
            <v>C. Tonalá #96, Col Jalisco, Tonalá, Jalisco</v>
          </cell>
        </row>
        <row r="866">
          <cell r="A866">
            <v>901</v>
          </cell>
          <cell r="B866" t="str">
            <v>Casa Tradición</v>
          </cell>
          <cell r="D866" t="str">
            <v>Lázaro Cárdenas #209, Zona Centro, C.P.34840, Nombre de Dios, Durango</v>
          </cell>
        </row>
        <row r="867">
          <cell r="A867">
            <v>902</v>
          </cell>
          <cell r="B867" t="str">
            <v>Kellanova Pronumex</v>
          </cell>
          <cell r="C867" t="str">
            <v>Guadalupe Alvarez</v>
          </cell>
          <cell r="D867" t="str">
            <v>0380-KLMX, km 1, carr. Campo Militar S/N, Qro, Qro, C.P.76135</v>
          </cell>
        </row>
        <row r="868">
          <cell r="A868">
            <v>903</v>
          </cell>
          <cell r="B868" t="str">
            <v>Semillas y Cereales San Juanico</v>
          </cell>
          <cell r="C868" t="str">
            <v>Alizet Pacheco</v>
          </cell>
          <cell r="D868" t="str">
            <v>Jesús Aguilar Dias #23-A, San Agustin, C.P.45645, Tlajomulco, Jalisco</v>
          </cell>
        </row>
        <row r="869">
          <cell r="A869">
            <v>904</v>
          </cell>
          <cell r="B869" t="str">
            <v>Gloria Leon Murillo</v>
          </cell>
          <cell r="C869" t="str">
            <v>Gloria León Murillo</v>
          </cell>
          <cell r="D869" t="str">
            <v>Av. Francisco Javier Mina #757, Col. Belisario Dominguez, C.P.44320, Guadalajara, Jalisco</v>
          </cell>
        </row>
        <row r="870">
          <cell r="A870">
            <v>905</v>
          </cell>
          <cell r="B870" t="str">
            <v>Advanta Pharma SAPI de C.V.</v>
          </cell>
          <cell r="D870" t="str">
            <v>Av. Santa Fe #428 Torre 1 Piso 11, C.P.05348, Ciudad de México, CDMX</v>
          </cell>
        </row>
        <row r="871">
          <cell r="A871">
            <v>906</v>
          </cell>
          <cell r="B871" t="str">
            <v>Productos Alimenticios La Morena</v>
          </cell>
          <cell r="C871" t="str">
            <v>Pedro Martinez</v>
          </cell>
          <cell r="D871" t="str">
            <v>Monterrey 7, Colonia Centro Rafael Lara Grajales, Puebla Mexico, C.P.75000</v>
          </cell>
        </row>
        <row r="872">
          <cell r="A872">
            <v>907</v>
          </cell>
          <cell r="B872" t="str">
            <v>Volkswagen del Centro</v>
          </cell>
          <cell r="C872" t="str">
            <v>Alejandra Malo López</v>
          </cell>
          <cell r="D872" t="str">
            <v>Av. Independencia #1863,Trojes de Alonso, C.P.20116, Aguascalientes, Aguascalientes</v>
          </cell>
        </row>
        <row r="873">
          <cell r="A873">
            <v>908</v>
          </cell>
          <cell r="B873" t="str">
            <v>NBF Foods</v>
          </cell>
          <cell r="C873" t="str">
            <v>Alejandra Soto</v>
          </cell>
          <cell r="D873" t="str">
            <v>Av. Jalisco 1924 Bodega 26, Col. San Francisco , C.P.45200, Tesistan, Jalisco</v>
          </cell>
        </row>
        <row r="874">
          <cell r="A874">
            <v>909</v>
          </cell>
          <cell r="B874" t="str">
            <v xml:space="preserve">Operadora Químca Menlun </v>
          </cell>
          <cell r="C874" t="str">
            <v>Guadalupe Luna</v>
          </cell>
          <cell r="D874" t="str">
            <v>Terremote Manzana 4 Lote 4, Col Bellavista, CP 54710, Cuautitlán Izcalli, México</v>
          </cell>
        </row>
        <row r="875">
          <cell r="A875">
            <v>910</v>
          </cell>
          <cell r="B875" t="str">
            <v>Audi Center Galerias</v>
          </cell>
          <cell r="C875" t="str">
            <v>Haxel Marquez Ramos</v>
          </cell>
          <cell r="D875" t="str">
            <v>Av. Ignacio L. Vallarta #5400-A, Jardines Universidad, C.P.45020, Zapopan, Jalisco</v>
          </cell>
        </row>
        <row r="876">
          <cell r="A876">
            <v>911</v>
          </cell>
          <cell r="B876" t="str">
            <v>Casa Tradición</v>
          </cell>
          <cell r="C876" t="str">
            <v>Veronica Guzman</v>
          </cell>
          <cell r="D876" t="str">
            <v>Carretera Tepatitlán-Arandas km 9+31, C.P.47705, Capilla de Guadalupe, Jalisco</v>
          </cell>
        </row>
        <row r="877">
          <cell r="A877">
            <v>912</v>
          </cell>
          <cell r="B877" t="str">
            <v>The Timken Corporation</v>
          </cell>
          <cell r="D877" t="str">
            <v>Mt. Pleasant St.Nw. #4500, North Canton, Ohio</v>
          </cell>
        </row>
        <row r="878">
          <cell r="A878">
            <v>913</v>
          </cell>
          <cell r="B878" t="str">
            <v>Ajemex SA de CV</v>
          </cell>
          <cell r="C878" t="str">
            <v>Dafne Ximena Zamorano Lopez</v>
          </cell>
          <cell r="D878" t="str">
            <v>Manzana "A" Lote 7, Puebla, Huejotzingo, Parque Industrial San Miguel, CP 74160, Mexico</v>
          </cell>
        </row>
        <row r="879">
          <cell r="A879">
            <v>914</v>
          </cell>
          <cell r="B879" t="str">
            <v>Autocamiones de México</v>
          </cell>
          <cell r="D879" t="str">
            <v>Fray Marcos de Niza #3486, Col. San Rafael, C.P.80150, Culiacán, Sinaloa</v>
          </cell>
        </row>
        <row r="880">
          <cell r="A880">
            <v>915</v>
          </cell>
          <cell r="B880" t="str">
            <v>Zar/Kruse S.A. de C.V.</v>
          </cell>
          <cell r="D880" t="str">
            <v>Av. Del Convento #104, Parque Industrial, C.P.52600, México, Edo. México</v>
          </cell>
        </row>
        <row r="881">
          <cell r="A881">
            <v>916</v>
          </cell>
          <cell r="B881" t="str">
            <v>Ajemex Planta Monterrey Maquila</v>
          </cell>
          <cell r="C881" t="str">
            <v>Vania Martiz Martinez</v>
          </cell>
          <cell r="D881" t="str">
            <v>Japetos Edificio 1 y 2 Parcela 3 #800 A, Parque Industrial Kalos, Guadalupe-Guadalupe- Nuevo León</v>
          </cell>
        </row>
        <row r="882">
          <cell r="A882">
            <v>917</v>
          </cell>
          <cell r="B882" t="str">
            <v>APTAR</v>
          </cell>
          <cell r="C882" t="str">
            <v>Luis Suarez</v>
          </cell>
          <cell r="D882" t="str">
            <v>Prolongación Circuito el Marqués Sur #1152, C.P.76246, Santiago de Querétaro, Qro.</v>
          </cell>
        </row>
        <row r="883">
          <cell r="A883">
            <v>918</v>
          </cell>
          <cell r="B883" t="str">
            <v>Trans Log HSA</v>
          </cell>
          <cell r="C883" t="str">
            <v>Heleodoro Sandoval</v>
          </cell>
          <cell r="D883" t="str">
            <v>Lomas Verdes #793, El Organo, C.P.45588, Tlaquepaque, Jalisco</v>
          </cell>
        </row>
        <row r="884">
          <cell r="A884">
            <v>919</v>
          </cell>
          <cell r="B884" t="str">
            <v>Alen del Norte</v>
          </cell>
        </row>
        <row r="885">
          <cell r="A885">
            <v>920</v>
          </cell>
          <cell r="B885" t="str">
            <v xml:space="preserve">NB Foods </v>
          </cell>
          <cell r="C885" t="str">
            <v>Guadalupe López</v>
          </cell>
          <cell r="D885" t="str">
            <v>Av. Jalisco #1924, Bodega 26, Col. San Francisco Tesistan, Capital Parque Super Manzana, C.P.45200, Tesistán, Jalisco</v>
          </cell>
        </row>
        <row r="886">
          <cell r="A886">
            <v>921</v>
          </cell>
          <cell r="B886" t="str">
            <v>Operadora de Hospitales Mariana S.A. de C.V.</v>
          </cell>
          <cell r="D886" t="str">
            <v>Monte Jura #200, Col. Villas de San Juan, C.P.44299, Guadalajara, Jalisco</v>
          </cell>
        </row>
        <row r="887">
          <cell r="A887">
            <v>922</v>
          </cell>
          <cell r="B887" t="str">
            <v>Gilberto Arévalo Vázquez</v>
          </cell>
          <cell r="D887" t="str">
            <v>Blvd. Industrial #20061, Col. Industrial, C.P. 22444, Tijuana, Baja California</v>
          </cell>
        </row>
        <row r="888">
          <cell r="A888">
            <v>923</v>
          </cell>
          <cell r="B888" t="str">
            <v>Centro de Retina Medico y Quirurgica</v>
          </cell>
          <cell r="C888" t="str">
            <v>Luis Manuel Aparicio</v>
          </cell>
          <cell r="D888" t="str">
            <v>Blvd. Puerta de Jierra #5150 A, Col Puerta de Hierro, Zapopan, Jalisco</v>
          </cell>
        </row>
        <row r="889">
          <cell r="A889">
            <v>924</v>
          </cell>
          <cell r="B889" t="str">
            <v>Pisa Farmaceutica Planta Tlajomulco</v>
          </cell>
          <cell r="C889" t="str">
            <v>CDN3</v>
          </cell>
          <cell r="D889" t="str">
            <v>Carretera San Isidro Mazatepec 7000, C.P.45640, Santa Cruz de las Flores, Jalisco</v>
          </cell>
        </row>
        <row r="890">
          <cell r="A890">
            <v>925</v>
          </cell>
          <cell r="B890" t="str">
            <v>Inbío Mex</v>
          </cell>
          <cell r="D890" t="str">
            <v>Av. Tepeyac 816, C.P. 45040, Zapopan, Jal</v>
          </cell>
        </row>
        <row r="891">
          <cell r="A891">
            <v>926</v>
          </cell>
          <cell r="B891" t="str">
            <v>YULIERP</v>
          </cell>
          <cell r="C891" t="str">
            <v>Alberto Lopez</v>
          </cell>
          <cell r="D891" t="str">
            <v>Av Federalismo Norte #1651, Guadalajara, Jalisco</v>
          </cell>
        </row>
        <row r="892">
          <cell r="A892">
            <v>927</v>
          </cell>
          <cell r="B892" t="str">
            <v>Manofacturera Dental Continental S.A. de C.V.</v>
          </cell>
          <cell r="C892" t="str">
            <v>Tatiana Gonzalez López</v>
          </cell>
          <cell r="D892" t="str">
            <v>Melchor Ocampo #1630, Col. El Vigía, C.P. 45140, Zapopan, Jalisco</v>
          </cell>
        </row>
        <row r="893">
          <cell r="A893">
            <v>928</v>
          </cell>
          <cell r="B893" t="str">
            <v>Pernod Ricard México</v>
          </cell>
          <cell r="C893" t="str">
            <v>Claudia Estrada</v>
          </cell>
          <cell r="D893" t="str">
            <v>Avenida del Tequila 1, Arandas, Jalisco, C.P. 47180</v>
          </cell>
        </row>
        <row r="894">
          <cell r="A894">
            <v>929</v>
          </cell>
          <cell r="B894" t="str">
            <v>Laboratorios Pisa S.A. de C.V. (Planta Penicilínicos Orales)</v>
          </cell>
          <cell r="C894" t="str">
            <v>Ing. Iris Vanessa Villarruel Flores</v>
          </cell>
          <cell r="D894" t="str">
            <v>Calle 6 #2924, Colonia Zona Industrial, Guadalajara, Jalisco, C.P. 44940</v>
          </cell>
        </row>
        <row r="895">
          <cell r="A895">
            <v>930</v>
          </cell>
          <cell r="B895" t="str">
            <v>Biobest</v>
          </cell>
          <cell r="C895" t="str">
            <v>Eduardo Rodriguez</v>
          </cell>
          <cell r="D895" t="str">
            <v>Camino a San Isidro Mazatepec Km 3, C.P.45340, San Isidro Mazatepec, Jalisco</v>
          </cell>
        </row>
        <row r="896">
          <cell r="A896">
            <v>931</v>
          </cell>
          <cell r="B896" t="str">
            <v>Agribrands Purina México</v>
          </cell>
          <cell r="D896" t="str">
            <v>Antonio Dovali Jaime #70, torres C y D, Col. Santa Fe, C.P.01210, CDMX, México</v>
          </cell>
        </row>
        <row r="897">
          <cell r="A897">
            <v>932</v>
          </cell>
          <cell r="B897" t="str">
            <v>Glass and Glass S.A. de C.V.</v>
          </cell>
          <cell r="C897" t="str">
            <v>Juan Daniel Morales Feliciano</v>
          </cell>
          <cell r="D897" t="str">
            <v>Circuito Perimetral Duport S/N, Fraccionamiento Fimex, C.P.89603, Altamira, Tamaulipas</v>
          </cell>
        </row>
        <row r="898">
          <cell r="A898">
            <v>933</v>
          </cell>
          <cell r="B898" t="str">
            <v>Kilker S.A. de C.V.</v>
          </cell>
          <cell r="C898" t="str">
            <v>Ing. Adso Gabriel Sigarroa Reyboso</v>
          </cell>
          <cell r="D898" t="str">
            <v>Carretera a Nextipac #6645, Nextipac, C.P.45220, Zapopan, Jalisco</v>
          </cell>
        </row>
        <row r="899">
          <cell r="A899">
            <v>934</v>
          </cell>
          <cell r="B899" t="str">
            <v>Ftech</v>
          </cell>
          <cell r="C899" t="str">
            <v>Victor Estrada</v>
          </cell>
          <cell r="D899" t="str">
            <v>Volcán Momotombo #2714, Col. Colli Urbano, C.P.45070, Zapopan, Jalisco</v>
          </cell>
        </row>
        <row r="900">
          <cell r="A900">
            <v>935</v>
          </cell>
          <cell r="B900" t="str">
            <v>Laboratorio de Ciencia e Innovación en Cosmetica</v>
          </cell>
          <cell r="C900" t="str">
            <v>César Carmona</v>
          </cell>
          <cell r="D900" t="str">
            <v>C. Chicle #674, Paraisos del Colli, C.P.45069</v>
          </cell>
        </row>
        <row r="901">
          <cell r="A901">
            <v>936</v>
          </cell>
          <cell r="B901" t="str">
            <v>Destiladora Rubio</v>
          </cell>
          <cell r="C901" t="str">
            <v>Luis Adrian Corona Gallo</v>
          </cell>
          <cell r="D901" t="str">
            <v>Carretrea Internacional #200, Santa Cruz de los Espinos, Tequila, Jalisco</v>
          </cell>
        </row>
        <row r="902">
          <cell r="A902">
            <v>937</v>
          </cell>
          <cell r="B902" t="str">
            <v>Ignis</v>
          </cell>
          <cell r="C902" t="str">
            <v>Claudia Padilla Aviles</v>
          </cell>
          <cell r="D902" t="str">
            <v>Paseo de los Cedros #104, Senderos de T. C.P.46618, Tlaquepaque, Jalisco</v>
          </cell>
        </row>
        <row r="903">
          <cell r="A903">
            <v>938</v>
          </cell>
          <cell r="B903" t="str">
            <v>Medetik</v>
          </cell>
          <cell r="C903" t="str">
            <v>Andrea Pelayo</v>
          </cell>
          <cell r="D903" t="str">
            <v>Real Acueducto #335, Puerta de H. C.P. 45115, Zapopan, Jalisco</v>
          </cell>
        </row>
        <row r="904">
          <cell r="A904">
            <v>939</v>
          </cell>
          <cell r="B904" t="str">
            <v>Industrial DCI</v>
          </cell>
          <cell r="C904" t="str">
            <v>Dionicio Casillas</v>
          </cell>
          <cell r="D904" t="str">
            <v>Federalismo #428, Guadalajara Centro, C.P.44100, Guadalajara, Jalisco</v>
          </cell>
        </row>
        <row r="905">
          <cell r="A905">
            <v>940</v>
          </cell>
          <cell r="B905" t="str">
            <v>Salsa Tamazula S.A. de C.V.</v>
          </cell>
          <cell r="C905" t="str">
            <v>Jorge Fajardo</v>
          </cell>
          <cell r="D905" t="str">
            <v>Calle 22 N° ext. 2583, Col. Zona Industrial, C.P. 44940, Guadalajara Jal.</v>
          </cell>
        </row>
        <row r="906">
          <cell r="A906">
            <v>941</v>
          </cell>
          <cell r="B906" t="str">
            <v>Concretos DCC</v>
          </cell>
          <cell r="C906" t="str">
            <v>Paulina Cárdenas</v>
          </cell>
          <cell r="D906" t="str">
            <v>Km. 1.2 Carretera Villa de Alvarez-Comala, Las Aguilas, C.P.28979, Villa de Alvarez, Colima</v>
          </cell>
        </row>
        <row r="907">
          <cell r="A907">
            <v>942</v>
          </cell>
          <cell r="B907" t="str">
            <v>Timken Mexico Holding</v>
          </cell>
          <cell r="C907" t="str">
            <v>Paulina Perez</v>
          </cell>
          <cell r="D907" t="str">
            <v>Boulevard Juan Jose Torres Landa, San Jose Iturbide C.P.37980, Guanajuanto, Guanajuato</v>
          </cell>
        </row>
        <row r="908">
          <cell r="A908">
            <v>943</v>
          </cell>
          <cell r="B908" t="str">
            <v>Ecochillers Corporation</v>
          </cell>
          <cell r="C908" t="str">
            <v>Teresa Santana</v>
          </cell>
          <cell r="D908" t="str">
            <v>Av. Ramón Corona #645 int. B, Santa Anita, C.P.45580, Tlaquepaque, Jalisco</v>
          </cell>
        </row>
        <row r="909">
          <cell r="A909">
            <v>944</v>
          </cell>
          <cell r="B909" t="str">
            <v>Biobest</v>
          </cell>
          <cell r="C909" t="str">
            <v>Ing. Manuel Vazquez</v>
          </cell>
          <cell r="D909" t="str">
            <v>Uruguay #2343, Col. Colón, Guadalajara, Jalisco</v>
          </cell>
        </row>
        <row r="910">
          <cell r="A910">
            <v>945</v>
          </cell>
          <cell r="B910" t="str">
            <v>Metales y Minerales MOA S.A. de C.V.</v>
          </cell>
          <cell r="C910" t="str">
            <v>Ricardo Oquedo</v>
          </cell>
          <cell r="D910" t="str">
            <v>Carretera el Salto a la Capilla KM.3, Col. La Loma, El Salto, Jalisco</v>
          </cell>
        </row>
        <row r="911">
          <cell r="A911">
            <v>946</v>
          </cell>
          <cell r="B911" t="str">
            <v>Logicbus S.A. De C.V.</v>
          </cell>
          <cell r="C911" t="str">
            <v>Luis Rodriguez</v>
          </cell>
          <cell r="D911" t="str">
            <v>San Juan 1570, Ciudad Granja, C.P.45010, Zapopan, Jalisco</v>
          </cell>
        </row>
        <row r="912">
          <cell r="A912">
            <v>947</v>
          </cell>
          <cell r="B912" t="str">
            <v>Cooperation Manufacturing Plant Aguascalientes, SAPI de CV</v>
          </cell>
          <cell r="D912" t="str">
            <v>Carretera Estatal 2 al Aeropuerto "El Taray", Km 1.1, Peñuelas, Aguascalientes, México, C.P.20340</v>
          </cell>
        </row>
        <row r="913">
          <cell r="A913">
            <v>948</v>
          </cell>
          <cell r="B913" t="str">
            <v>Steel Master Structures MX</v>
          </cell>
          <cell r="D913" t="str">
            <v>Loma Zacapu #481, C.P.45418, Tonalá, Jalisco</v>
          </cell>
        </row>
        <row r="914">
          <cell r="A914">
            <v>949</v>
          </cell>
          <cell r="B914" t="str">
            <v>Centro de Mezclas del HE del CMN de Occidente</v>
          </cell>
          <cell r="D914" t="str">
            <v>Av. Belisario Dominguez #1000, Col. Independencia, C.P.44340, Guadalajara, Jalisco</v>
          </cell>
        </row>
        <row r="915">
          <cell r="A915">
            <v>950</v>
          </cell>
          <cell r="B915" t="str">
            <v>Rota Impresos Nueva Galicia</v>
          </cell>
          <cell r="C915" t="str">
            <v>Paola Padilla</v>
          </cell>
          <cell r="D915" t="str">
            <v>Torrecillas 1949, Atlas, C.P. 44870, Guadalajara, Jalisco</v>
          </cell>
        </row>
        <row r="916">
          <cell r="A916">
            <v>951</v>
          </cell>
          <cell r="B916" t="str">
            <v>Laboratorios Jaloma</v>
          </cell>
          <cell r="C916" t="str">
            <v>Monica Robles</v>
          </cell>
          <cell r="D916" t="str">
            <v>C. Aquiles Serdan #438, Oblatos, C.P.44360, Guadalajara, Jalisco</v>
          </cell>
        </row>
        <row r="917">
          <cell r="A917">
            <v>952</v>
          </cell>
          <cell r="B917" t="str">
            <v>Audi Center Galerias</v>
          </cell>
          <cell r="D917" t="str">
            <v>Av. Vallarta 5400-A, Jardines Vallarta, C.P.45110, Zapopan, Jalisco</v>
          </cell>
        </row>
        <row r="918">
          <cell r="A918">
            <v>953</v>
          </cell>
          <cell r="B918" t="str">
            <v>Nutrilite S. de R.L. de C.V.</v>
          </cell>
          <cell r="D918" t="str">
            <v>Av. México #8, El Petacal, C.P.49750, Tolimán, Jalisco</v>
          </cell>
        </row>
        <row r="919">
          <cell r="A919">
            <v>954</v>
          </cell>
          <cell r="B919" t="str">
            <v>Dima</v>
          </cell>
          <cell r="C919" t="str">
            <v>Martín Roberto Sandoval</v>
          </cell>
          <cell r="D919" t="str">
            <v>Isla Cartagena #2955,  Lopez De Legaspi, C.P.44950, Guadalajara, Jalisco</v>
          </cell>
        </row>
        <row r="920">
          <cell r="A920">
            <v>955</v>
          </cell>
          <cell r="B920" t="str">
            <v xml:space="preserve">Concretos Lanzados Construcciones </v>
          </cell>
          <cell r="C920" t="str">
            <v>Miriam Ortiz</v>
          </cell>
          <cell r="D920" t="str">
            <v>Av. De las Góndolas #290, Valle del Álamo, C.P.44440, Tlaquepaque, Jalisco</v>
          </cell>
        </row>
        <row r="921">
          <cell r="A921">
            <v>956</v>
          </cell>
          <cell r="B921" t="str">
            <v>Peiyuan Automobile Parts Manufacture S.A. de C.V.</v>
          </cell>
          <cell r="C921" t="str">
            <v>Yasmin Villanueva</v>
          </cell>
          <cell r="D921" t="str">
            <v>Camino al Pino #26, Corredor Industrial de El Salto, C.P.45680, El Salto, Jalisco</v>
          </cell>
        </row>
        <row r="922">
          <cell r="A922">
            <v>957</v>
          </cell>
          <cell r="B922" t="str">
            <v>Tequilera Tap S. de R.L. de C.V.</v>
          </cell>
          <cell r="D922" t="str">
            <v>Carretera a Santa Rosa Km. 3, C.P. 45380, Amatitan, Jalisco</v>
          </cell>
        </row>
        <row r="923">
          <cell r="A923">
            <v>958</v>
          </cell>
          <cell r="B923" t="str">
            <v>Casa Tradición</v>
          </cell>
          <cell r="C923" t="str">
            <v>Osmar Castro</v>
          </cell>
          <cell r="D923" t="str">
            <v>Carretera Ocotlán-Tototlán, C.P.47746, Tototlán, Jalisco</v>
          </cell>
        </row>
        <row r="924">
          <cell r="A924">
            <v>959</v>
          </cell>
          <cell r="B924" t="str">
            <v>Alberto Evangelista</v>
          </cell>
          <cell r="C924" t="str">
            <v>Alberto Evangelista</v>
          </cell>
          <cell r="D924" t="str">
            <v>Prov. Zacatecas #2605-4, C.P.72775, Santiago Momoxpan, Puebla</v>
          </cell>
        </row>
        <row r="925">
          <cell r="A925">
            <v>960</v>
          </cell>
          <cell r="B925" t="str">
            <v>FMP Racks</v>
          </cell>
          <cell r="D925" t="str">
            <v>C. Roberto Michel #136 A, C.P.45672, Zapote, Jalisco</v>
          </cell>
        </row>
        <row r="926">
          <cell r="A926">
            <v>961</v>
          </cell>
          <cell r="B926" t="str">
            <v>ZF Transmisiones</v>
          </cell>
          <cell r="C926" t="str">
            <v>Miguel Garcia</v>
          </cell>
          <cell r="D926" t="str">
            <v>Carretera El Salto -La Capilla, C.P.45680, El Salto, Jalisco</v>
          </cell>
        </row>
        <row r="927">
          <cell r="A927">
            <v>962</v>
          </cell>
          <cell r="B927" t="str">
            <v>WN El Nogal</v>
          </cell>
          <cell r="D927" t="str">
            <v>20 de noviembre #934, C.P.47899, Ocotlán, Jalisco</v>
          </cell>
        </row>
        <row r="928">
          <cell r="A928">
            <v>963</v>
          </cell>
          <cell r="B928" t="str">
            <v xml:space="preserve">Pigore Ingeniería </v>
          </cell>
          <cell r="C928" t="str">
            <v>José Leal</v>
          </cell>
          <cell r="D928" t="str">
            <v>Agustin Rivera #200 int. 1, C.P.45600, Tlaquepaque, Jalisco</v>
          </cell>
        </row>
        <row r="929">
          <cell r="A929">
            <v>964</v>
          </cell>
          <cell r="B929" t="str">
            <v>Mota Engil</v>
          </cell>
          <cell r="C929" t="str">
            <v>Adrian Casillas</v>
          </cell>
          <cell r="D929" t="str">
            <v>Calle Constituyentes Oriente s/n, C.P.45640, Tlajomulco de Zuñiga, Jalisco</v>
          </cell>
        </row>
        <row r="930">
          <cell r="A930">
            <v>965</v>
          </cell>
          <cell r="B930" t="str">
            <v>Mota Engil Mexico</v>
          </cell>
          <cell r="D930" t="str">
            <v>Carretera Palma Sola - Cardel Laguna verde C.P. 91476, Alto Lucero de Gutierrez Barrios Veracruz</v>
          </cell>
        </row>
        <row r="931">
          <cell r="A931">
            <v>966</v>
          </cell>
          <cell r="B931" t="str">
            <v>Bessmex Solution Group</v>
          </cell>
          <cell r="C931" t="str">
            <v>Luis Carreño</v>
          </cell>
          <cell r="D931" t="str">
            <v>Camino de las Calandrias #351 int.10, C.P.36620, Irapuato, Guanajuato</v>
          </cell>
        </row>
        <row r="932">
          <cell r="A932">
            <v>967</v>
          </cell>
          <cell r="B932" t="str">
            <v>Micropromex</v>
          </cell>
          <cell r="C932" t="str">
            <v>Cleofas Manrique</v>
          </cell>
          <cell r="D932" t="str">
            <v>San Patricio #1953-B, Minerales Centro, C.P.45693, Las Pintas, Jalisco</v>
          </cell>
        </row>
        <row r="933">
          <cell r="A933">
            <v>968</v>
          </cell>
          <cell r="B933" t="str">
            <v>Gates de México</v>
          </cell>
          <cell r="D933" t="str">
            <v>Calle Vesta s/n, Lote 1, Vesta Park, C.P.50200, Toluca de Lerdo, México</v>
          </cell>
        </row>
        <row r="934">
          <cell r="A934">
            <v>969</v>
          </cell>
          <cell r="B934" t="str">
            <v xml:space="preserve">Land Rover </v>
          </cell>
          <cell r="C934" t="str">
            <v>Mario</v>
          </cell>
          <cell r="D934" t="str">
            <v>Av. Acueducto #5555, C.P.45116, Zapopan, Jalisco</v>
          </cell>
        </row>
        <row r="935">
          <cell r="A935">
            <v>970</v>
          </cell>
          <cell r="B935" t="str">
            <v>Solar Panel Company</v>
          </cell>
          <cell r="C935" t="str">
            <v>Citlali Ruiz</v>
          </cell>
          <cell r="D935" t="str">
            <v>Vista de las Lomas #49 int 7, V. San Agustín, C.P.45645, Tlajomulco de Zúñiga, Jalisco</v>
          </cell>
        </row>
        <row r="936">
          <cell r="A936">
            <v>971</v>
          </cell>
          <cell r="B936" t="str">
            <v>Omnibus de México</v>
          </cell>
          <cell r="C936" t="str">
            <v>Arturo Gonzalez</v>
          </cell>
          <cell r="D936" t="str">
            <v>República de Perú #301, Las Américas, C.P.20230, Aguascalientes, Jalisco</v>
          </cell>
        </row>
        <row r="937">
          <cell r="A937">
            <v>972</v>
          </cell>
          <cell r="B937" t="str">
            <v>Concretos Cayacal</v>
          </cell>
          <cell r="C937" t="str">
            <v>Fernando Valencia Maciel</v>
          </cell>
          <cell r="D937" t="str">
            <v>Isla del Cayacal, Parque de la Pequeña y Media, C.P.60950, Lázaro Cárdenas, México</v>
          </cell>
        </row>
        <row r="938">
          <cell r="A938">
            <v>973</v>
          </cell>
          <cell r="B938" t="str">
            <v>Proyectos y Validaciones Sorimtec</v>
          </cell>
          <cell r="C938" t="str">
            <v>José Antonio Briseño Ortega</v>
          </cell>
          <cell r="D938" t="str">
            <v>Piñón #88, Lomas de San Mateo, C.P.53200, Naucalpan de Juárez, México</v>
          </cell>
        </row>
        <row r="939">
          <cell r="A939">
            <v>974</v>
          </cell>
          <cell r="B939" t="str">
            <v>CEPI Especialistas en Proyectos Contra Incendios</v>
          </cell>
          <cell r="D939" t="str">
            <v>Calle Vista Regia #500, Linda Vista, C.P.67123, Guadalupe, México</v>
          </cell>
        </row>
        <row r="940">
          <cell r="A940">
            <v>975</v>
          </cell>
          <cell r="B940" t="str">
            <v xml:space="preserve">Soporte Eléctrico Internacional </v>
          </cell>
          <cell r="C940" t="str">
            <v>Lic. Monserrat</v>
          </cell>
          <cell r="D940" t="str">
            <v>Calle 26 #1225, Colón Industrial, C.P.44940, Guadalajara, Jalisco</v>
          </cell>
        </row>
        <row r="941">
          <cell r="A941">
            <v>976</v>
          </cell>
          <cell r="B941" t="str">
            <v>Coco Colima</v>
          </cell>
          <cell r="D941" t="str">
            <v>Amado Nervo int.10, Armeria Centro #28300</v>
          </cell>
        </row>
        <row r="942">
          <cell r="A942">
            <v>977</v>
          </cell>
          <cell r="B942" t="str">
            <v>Cedica</v>
          </cell>
          <cell r="C942" t="str">
            <v>Marco Cortés</v>
          </cell>
          <cell r="D942" t="str">
            <v>Niños Heroes #264, Lomas del Camichin, C.P.45403, Tonala, Jalisco.</v>
          </cell>
        </row>
        <row r="943">
          <cell r="A943">
            <v>978</v>
          </cell>
          <cell r="B943" t="str">
            <v>Ricardo Iván Ramirez Garcia</v>
          </cell>
          <cell r="C943" t="str">
            <v>Ricardo Garcia</v>
          </cell>
          <cell r="D943" t="str">
            <v>Genoforte #51, Paso Blanco, C.P.47810, Ocotlán, Jalisco</v>
          </cell>
        </row>
        <row r="944">
          <cell r="A944">
            <v>979</v>
          </cell>
          <cell r="B944" t="str">
            <v>Suspenciones Emsa</v>
          </cell>
          <cell r="C944" t="str">
            <v>Torques y Abrazaderas Emsa</v>
          </cell>
          <cell r="D944" t="str">
            <v>Camino Real Agua Amarilla #350, C.P.45610, Tlaquepaque, Jalisco</v>
          </cell>
        </row>
        <row r="945">
          <cell r="A945">
            <v>980</v>
          </cell>
          <cell r="B945" t="str">
            <v>CDM Guadalajara</v>
          </cell>
          <cell r="D945" t="str">
            <v>Fundición #2144 Col. Parque Industrial El Alamo, C.P.44490, Guadalajara, Jalisco</v>
          </cell>
        </row>
        <row r="946">
          <cell r="A946">
            <v>981</v>
          </cell>
          <cell r="B946" t="str">
            <v>Procesadora de Dulce Artesanal</v>
          </cell>
          <cell r="C946" t="str">
            <v>Mayra Vega</v>
          </cell>
          <cell r="D946" t="str">
            <v>Calle Las Flores #74, Lomas de Tabachines, C.P.45185, Zapopan, Jalisco</v>
          </cell>
        </row>
        <row r="947">
          <cell r="A947">
            <v>982</v>
          </cell>
          <cell r="B947" t="str">
            <v>Jorge Felix Sarmiento</v>
          </cell>
          <cell r="C947" t="str">
            <v>Jorge Felix Sarmiento</v>
          </cell>
          <cell r="D947" t="str">
            <v>Brasiles #3394, Cil. Bugambilias, C.P.80145, Culiacán, Sinaloa</v>
          </cell>
        </row>
        <row r="948">
          <cell r="A948">
            <v>983</v>
          </cell>
          <cell r="B948" t="str">
            <v>Guadalajara Country Club</v>
          </cell>
          <cell r="D948" t="str">
            <v>Mar Caribe #260, C.P.44610, Guadalajara, Jalisco</v>
          </cell>
        </row>
        <row r="949">
          <cell r="A949">
            <v>984</v>
          </cell>
          <cell r="B949" t="str">
            <v>Grupo Premier</v>
          </cell>
          <cell r="C949" t="str">
            <v>Mónica del Águila Casillas</v>
          </cell>
          <cell r="D949" t="str">
            <v>C. Jilgueros #86, C.P. 45221, Jalisco</v>
          </cell>
        </row>
        <row r="950">
          <cell r="A950">
            <v>985</v>
          </cell>
          <cell r="B950" t="str">
            <v>Alfer Electric</v>
          </cell>
          <cell r="C950" t="str">
            <v>Cielo Perez Sercado</v>
          </cell>
          <cell r="D950" t="str">
            <v>C. Argensola #288, Arcos Vallarta, C.P.44130, Guadalajara, Jalisco</v>
          </cell>
        </row>
        <row r="951">
          <cell r="A951">
            <v>986</v>
          </cell>
          <cell r="B951" t="str">
            <v>Clase Azul</v>
          </cell>
          <cell r="C951" t="str">
            <v>Ing. Oskar Nava</v>
          </cell>
          <cell r="D951" t="str">
            <v>Tepatitlán de Morelos-Capilla de Guadalupe, km 9+316, C.P.47600, Tepatitlán, Jalisco</v>
          </cell>
        </row>
        <row r="952">
          <cell r="A952">
            <v>987</v>
          </cell>
          <cell r="B952" t="str">
            <v>Instrumentos Industriales del Pacífico</v>
          </cell>
          <cell r="D952" t="str">
            <v>Juan Carrasco #212 Pte. Los Mochis Centro, C.P.81200, Los Mochis, Sinaloa</v>
          </cell>
        </row>
        <row r="953">
          <cell r="A953">
            <v>988</v>
          </cell>
          <cell r="B953" t="str">
            <v>Universidad de Guadalajara</v>
          </cell>
          <cell r="C953" t="str">
            <v>Gualberto Iglesias Gonzales</v>
          </cell>
          <cell r="D953" t="str">
            <v>Av. José Parres Arias #5, Rinconada de la Azalea, Zapopan, Jalisco</v>
          </cell>
        </row>
        <row r="954">
          <cell r="A954">
            <v>989</v>
          </cell>
          <cell r="B954" t="str">
            <v>Friendly Hola Vallarta</v>
          </cell>
        </row>
        <row r="955">
          <cell r="A955">
            <v>990</v>
          </cell>
          <cell r="B955" t="str">
            <v>Valvulas y Asesoria integral en termoplasticos</v>
          </cell>
          <cell r="C955" t="str">
            <v>Jose Martin Estrada</v>
          </cell>
          <cell r="D955" t="str">
            <v>Mercurio # 34 Col. En sueño Cuautitlan Edo. Mex.</v>
          </cell>
        </row>
        <row r="956">
          <cell r="A956">
            <v>991</v>
          </cell>
          <cell r="B956" t="str">
            <v>Camperi México</v>
          </cell>
          <cell r="C956" t="str">
            <v>Ing. Juan Carlos Arredondo</v>
          </cell>
          <cell r="D956" t="str">
            <v>Camino Real Atotonilco No. 1081, Arandas Jal.</v>
          </cell>
        </row>
        <row r="957">
          <cell r="A957">
            <v>992</v>
          </cell>
          <cell r="B957" t="str">
            <v>Medeq Medical Equipment and Supplies</v>
          </cell>
          <cell r="D957" t="str">
            <v>Calle Miguel de Cervantes Saavedra y Juan Luis de Alarcón #1977, C.P.44600, Guadalajara, Jal</v>
          </cell>
        </row>
        <row r="958">
          <cell r="A958">
            <v>993</v>
          </cell>
          <cell r="B958" t="str">
            <v>Roger Foam</v>
          </cell>
          <cell r="C958" t="str">
            <v>Elizabeth Rojas</v>
          </cell>
          <cell r="D958" t="str">
            <v>Anillo Periférico Sur #6350 F, C.P.45610, Tlaquepaque, Jalisco</v>
          </cell>
        </row>
        <row r="959">
          <cell r="A959">
            <v>994</v>
          </cell>
          <cell r="B959" t="str">
            <v>Agroindustrias Amatitan</v>
          </cell>
          <cell r="D959" t="str">
            <v>Calzada del Carmen Poniente S/N Externo 300, Amatitan, Jalisco</v>
          </cell>
        </row>
        <row r="960">
          <cell r="A960">
            <v>995</v>
          </cell>
          <cell r="B960" t="str">
            <v>OPERADORA QUIMICA MENLUN</v>
          </cell>
          <cell r="D960" t="str">
            <v>Terremote Manzana 4 Lote 4, Col Bellavista, CP 54710, Cuautitlán Izcalli, México</v>
          </cell>
        </row>
        <row r="961">
          <cell r="A961">
            <v>996</v>
          </cell>
          <cell r="B961" t="str">
            <v>Carbotecnia S.A. de C.V.</v>
          </cell>
          <cell r="C961" t="str">
            <v>Hilda Huerta</v>
          </cell>
          <cell r="D961" t="str">
            <v>Calle B #2105 int. A, Col. Del Tigre, C.P.45134, Zapopan, Jalisco</v>
          </cell>
        </row>
        <row r="962">
          <cell r="A962">
            <v>997</v>
          </cell>
          <cell r="B962" t="str">
            <v>Ingeniería Especializada en Eficiencia Energética</v>
          </cell>
          <cell r="C962" t="str">
            <v>Ing. Gabriel Carraman</v>
          </cell>
          <cell r="D962" t="str">
            <v>Ambar 2527, Residencial Victoria, C.P.44560, Guadalajara, Jalisco</v>
          </cell>
        </row>
        <row r="963">
          <cell r="A963">
            <v>998</v>
          </cell>
          <cell r="B963" t="str">
            <v>Ulsa Tech S.A. DE C.V.</v>
          </cell>
          <cell r="D963" t="str">
            <v>Av. Dr. Roberto Michel #2546, Col. Parque Industrial el Alamo, Guadalajara Jal.</v>
          </cell>
        </row>
        <row r="964">
          <cell r="A964">
            <v>999</v>
          </cell>
          <cell r="B964" t="str">
            <v>Zar Kruse</v>
          </cell>
          <cell r="C964" t="str">
            <v>Alberto Preciado</v>
          </cell>
          <cell r="D964" t="str">
            <v>Carretera Celaya Apaseo Km 45, Apaseo, Guanajuato</v>
          </cell>
        </row>
        <row r="965">
          <cell r="A965">
            <v>1000</v>
          </cell>
          <cell r="B965" t="str">
            <v>Medec Medical (Suministros y Sanidad Rx)</v>
          </cell>
          <cell r="C965" t="str">
            <v>Jainal Gil Morales</v>
          </cell>
          <cell r="D965" t="str">
            <v>Calle Miguel de Cervantes Saavedra, C.P.44600, Guadalajara, Jal</v>
          </cell>
        </row>
        <row r="966">
          <cell r="A966">
            <v>1001</v>
          </cell>
          <cell r="B966" t="str">
            <v>Naosa Country</v>
          </cell>
          <cell r="D966" t="str">
            <v>Av. Manuel Ávila Camacho #1660, Jardines del Country, C.P.44210, Guadalajara, Jal.</v>
          </cell>
        </row>
        <row r="967">
          <cell r="A967">
            <v>1002</v>
          </cell>
          <cell r="B967" t="str">
            <v>Alimentos Toyo</v>
          </cell>
          <cell r="C967" t="str">
            <v>Sr. Landeros</v>
          </cell>
          <cell r="D967" t="str">
            <v>Calle Jesús García #168, Zapopan Centro, C.P.45100, Zapopan, Jalisco</v>
          </cell>
        </row>
        <row r="968">
          <cell r="A968">
            <v>1003</v>
          </cell>
          <cell r="B968" t="str">
            <v>J. Jesús Guzmán Román</v>
          </cell>
          <cell r="C968" t="str">
            <v>Araceli Guzmán</v>
          </cell>
          <cell r="D968" t="str">
            <v>Calle Presa Escondida #3996, Lagos de Oriente, C.P.44770, Guadalajara, Jalisco</v>
          </cell>
        </row>
        <row r="969">
          <cell r="A969">
            <v>1004</v>
          </cell>
          <cell r="B969" t="str">
            <v>Erika Liliana Ramirez Martín</v>
          </cell>
          <cell r="D969" t="str">
            <v>Calle Rancho Santa Ana #57, San José de Bazarte, Tepatitlán de Morelos</v>
          </cell>
        </row>
        <row r="970">
          <cell r="A970">
            <v>1005</v>
          </cell>
          <cell r="B970" t="str">
            <v>Hulpac</v>
          </cell>
          <cell r="D970" t="str">
            <v>Calle del Andén #2415 int. B, Valle del Álamo, C.P.44440, Guadalajara, Jalisco</v>
          </cell>
        </row>
        <row r="971">
          <cell r="A971">
            <v>1006</v>
          </cell>
          <cell r="B971" t="str">
            <v>Sialico Food Safety</v>
          </cell>
          <cell r="D971" t="str">
            <v>Lateral Via Altixcayotl #5210 int.F1, C.P.72820, San Andrés Cholula, Puebla</v>
          </cell>
        </row>
        <row r="972">
          <cell r="A972">
            <v>1007</v>
          </cell>
          <cell r="B972" t="str">
            <v>VPA Sorim</v>
          </cell>
          <cell r="D972" t="str">
            <v>Calle Mica #88, Lomas de la Cantera, C.P.53470, Naucalpan, Edo.Mex.</v>
          </cell>
        </row>
        <row r="973">
          <cell r="A973">
            <v>1008</v>
          </cell>
          <cell r="B973" t="str">
            <v>Alimentos Balanceados Penjamo (ALBAPESA)</v>
          </cell>
          <cell r="C973" t="str">
            <v>Ing. Luis Mario Perez Negrete</v>
          </cell>
          <cell r="D973" t="str">
            <v>Carretera Irapuato-La Piedad Km 63, 36900, Penjamo, Gto.</v>
          </cell>
        </row>
        <row r="974">
          <cell r="A974">
            <v>1009</v>
          </cell>
          <cell r="B974" t="str">
            <v>Comintec</v>
          </cell>
          <cell r="C974" t="str">
            <v>Ing. Diego Valle</v>
          </cell>
          <cell r="D974" t="str">
            <v>Emiliano Zapata 11, La Loma, C.P.45601, Tlaquepaque, Jalisco</v>
          </cell>
        </row>
        <row r="975">
          <cell r="A975">
            <v>1010</v>
          </cell>
          <cell r="B975" t="str">
            <v>Rosa María Murillo Macias</v>
          </cell>
          <cell r="C975" t="str">
            <v>Rosa María Murillo Macias</v>
          </cell>
          <cell r="D975" t="str">
            <v>Isla Martinica 2710, C.P.44950, Guadalajara, Jalisco- José Alfredo Jimenez 15, C.P.45380, Amatita, Jalisco</v>
          </cell>
        </row>
        <row r="976">
          <cell r="A976">
            <v>1011</v>
          </cell>
          <cell r="B976" t="str">
            <v>Dilan Ulises Montiel Rodriguez</v>
          </cell>
          <cell r="D976" t="str">
            <v>León de Los Aldama 102, El Coecillo, C.P.37260, León, Gto.</v>
          </cell>
        </row>
        <row r="977">
          <cell r="A977">
            <v>1012</v>
          </cell>
          <cell r="B977" t="str">
            <v>Zar Cruse</v>
          </cell>
          <cell r="C977" t="str">
            <v>Francisco</v>
          </cell>
          <cell r="D977" t="str">
            <v>Circuito Grijalva 50 125, Parque Industrial Siglo XXI, C.P.45640, Tlajomulco de Zuñiga, Jalisco</v>
          </cell>
        </row>
        <row r="978">
          <cell r="A978">
            <v>1013</v>
          </cell>
          <cell r="B978" t="str">
            <v>Lizen Autos S.A. de C.V.</v>
          </cell>
          <cell r="C978" t="str">
            <v>Domenico Berber</v>
          </cell>
          <cell r="D978" t="str">
            <v>Av. Patria #2168, Santa Isabel, C.P.45110, Zapopan, Jalisco</v>
          </cell>
        </row>
        <row r="979">
          <cell r="A979">
            <v>1014</v>
          </cell>
          <cell r="B979" t="str">
            <v>Infraestructura 360</v>
          </cell>
          <cell r="C979" t="str">
            <v>Joaquin Cervantes</v>
          </cell>
          <cell r="D979" t="str">
            <v>Lomas del Libano #3002, C.P.45178, Zapopan, Jalisco</v>
          </cell>
        </row>
        <row r="980">
          <cell r="A980">
            <v>1015</v>
          </cell>
          <cell r="B980" t="str">
            <v>Instituto Mexicano del Seguro Social (Centro de Mezclas Jalisco)</v>
          </cell>
          <cell r="C980" t="str">
            <v>Q.F.B. Gabriela Gonzáles Navarro</v>
          </cell>
          <cell r="D980" t="str">
            <v>Av. Belisario Domínguez #1000, Col. Belisario Domínguez, Guadalajara, Jalisco, México, C.P.44329</v>
          </cell>
        </row>
        <row r="981">
          <cell r="A981">
            <v>1016</v>
          </cell>
          <cell r="B981" t="str">
            <v>Instituto Mexicano del Seguro Social (Centro de Mezclas La Raza)</v>
          </cell>
          <cell r="C981" t="str">
            <v>Q.F.I. Sandra Yépez Guerra</v>
          </cell>
          <cell r="D981" t="str">
            <v>Paseo de las Jacarandas S/N, La Raza, Azcapotzalco, Ciudad de México, C.P.02990</v>
          </cell>
        </row>
        <row r="982">
          <cell r="A982">
            <v>1017</v>
          </cell>
          <cell r="B982" t="str">
            <v>Instituto Mexicano del Seguro Social (Centro de Culiacán)</v>
          </cell>
          <cell r="C982" t="str">
            <v>Q.F.B. Jorge Humberto Pérez Vega</v>
          </cell>
          <cell r="D982" t="str">
            <v>Francisco Zarco S/N, Col. Guadalupe, Culiacán de Rosales, Sinaloa, C.P.80230</v>
          </cell>
        </row>
        <row r="983">
          <cell r="A983">
            <v>1018</v>
          </cell>
          <cell r="B983" t="str">
            <v>Instituto Mexicano del Seguro Social (Centro de Tuxtla Gutiérrez)</v>
          </cell>
          <cell r="C983" t="str">
            <v>Q.F.B. Rozzana Camacho Valle</v>
          </cell>
          <cell r="D983" t="str">
            <v>Calle 11va Oriente Norte S/N, Tuxtla Gutiérrez, Col. Periodista, C.P.29043, Chiapas</v>
          </cell>
        </row>
        <row r="984">
          <cell r="A984">
            <v>1019</v>
          </cell>
          <cell r="B984" t="str">
            <v>Margrey</v>
          </cell>
          <cell r="C984" t="str">
            <v>Ana</v>
          </cell>
          <cell r="D984" t="str">
            <v>Carretera San Sebastian 1150-A, Tlaquepaque, Jalisco</v>
          </cell>
        </row>
        <row r="985">
          <cell r="A985">
            <v>1020</v>
          </cell>
          <cell r="B985" t="str">
            <v>Merecedes Benz Euroestern</v>
          </cell>
          <cell r="C985" t="str">
            <v>Antonio Villalobos</v>
          </cell>
          <cell r="D985" t="str">
            <v>Av. López Mateos Sur 4095,Loma Bonita, C.P.45087, Zapopan, Jalisco</v>
          </cell>
        </row>
        <row r="986">
          <cell r="A986">
            <v>1021</v>
          </cell>
          <cell r="B986" t="str">
            <v>Comercializadora Migh de México</v>
          </cell>
          <cell r="C986" t="str">
            <v>María Elena Becerra</v>
          </cell>
          <cell r="D986" t="str">
            <v>Carretera Nacional Jiquilpan Manzanillo km39, San José de Garcia, Michoacán de Ocampo C.P.59500</v>
          </cell>
        </row>
        <row r="987">
          <cell r="A987">
            <v>1022</v>
          </cell>
          <cell r="B987" t="str">
            <v>Unidad de Investigación en Salud</v>
          </cell>
          <cell r="C987" t="str">
            <v>Lizeth Martin</v>
          </cell>
          <cell r="D987" t="str">
            <v>Pablo Villaseñor #287, Col. Ladrón de Guevara, C.P.44600, Guadalajara, Jal.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C132"/>
  <sheetViews>
    <sheetView tabSelected="1" view="pageBreakPreview" zoomScaleNormal="70" zoomScaleSheetLayoutView="100" workbookViewId="0">
      <selection activeCell="D14" sqref="D14"/>
    </sheetView>
  </sheetViews>
  <sheetFormatPr baseColWidth="10" defaultColWidth="9.140625" defaultRowHeight="15" x14ac:dyDescent="0.25"/>
  <cols>
    <col min="1" max="1" width="9.7109375" customWidth="1"/>
    <col min="2" max="2" width="19.28515625" customWidth="1"/>
    <col min="3" max="3" width="11.42578125" customWidth="1"/>
    <col min="4" max="4" width="10" customWidth="1"/>
    <col min="5" max="5" width="13.28515625" customWidth="1"/>
    <col min="6" max="7" width="8.28515625" customWidth="1"/>
    <col min="8" max="8" width="11.42578125" customWidth="1"/>
    <col min="9" max="9" width="13.85546875" customWidth="1"/>
    <col min="10" max="10" width="16.28515625" customWidth="1"/>
    <col min="11" max="11" width="13" bestFit="1" customWidth="1"/>
    <col min="12" max="12" width="11.28515625" customWidth="1"/>
    <col min="13" max="13" width="13.42578125" customWidth="1"/>
    <col min="14" max="17" width="13" bestFit="1" customWidth="1"/>
    <col min="18" max="18" width="14.7109375" bestFit="1" customWidth="1"/>
    <col min="19" max="19" width="11.140625" bestFit="1" customWidth="1"/>
    <col min="21" max="22" width="9.28515625" bestFit="1" customWidth="1"/>
    <col min="23" max="23" width="11.7109375" bestFit="1" customWidth="1"/>
  </cols>
  <sheetData>
    <row r="1" spans="1:17" ht="15" customHeight="1" thickTop="1" x14ac:dyDescent="0.25">
      <c r="A1" s="15"/>
      <c r="B1" s="14"/>
      <c r="C1" s="14"/>
      <c r="D1" s="14"/>
      <c r="E1" s="14"/>
      <c r="F1" s="14"/>
      <c r="G1" s="14"/>
      <c r="H1" s="14"/>
      <c r="I1" s="14"/>
      <c r="J1" s="74"/>
    </row>
    <row r="2" spans="1:17" x14ac:dyDescent="0.25">
      <c r="A2" s="16"/>
      <c r="B2" s="33"/>
      <c r="C2" s="184" t="s">
        <v>184</v>
      </c>
      <c r="D2" s="184"/>
      <c r="E2" s="184"/>
      <c r="F2" s="184"/>
      <c r="G2" s="184"/>
      <c r="H2" s="184"/>
      <c r="I2" s="184"/>
      <c r="J2" s="75"/>
    </row>
    <row r="3" spans="1:17" x14ac:dyDescent="0.25">
      <c r="A3" s="16"/>
      <c r="B3" s="33"/>
      <c r="C3" s="185" t="s">
        <v>185</v>
      </c>
      <c r="D3" s="185"/>
      <c r="E3" s="185"/>
      <c r="F3" s="185"/>
      <c r="G3" s="185"/>
      <c r="H3" s="185"/>
      <c r="I3" s="185"/>
      <c r="J3" s="76"/>
    </row>
    <row r="4" spans="1:17" ht="15" customHeight="1" x14ac:dyDescent="0.25">
      <c r="A4" s="16"/>
      <c r="B4" s="33"/>
      <c r="C4" s="186" t="s">
        <v>186</v>
      </c>
      <c r="D4" s="186"/>
      <c r="E4" s="186"/>
      <c r="F4" s="186"/>
      <c r="G4" s="186"/>
      <c r="H4" s="186"/>
      <c r="I4" s="186"/>
      <c r="J4" s="77"/>
      <c r="K4" s="43"/>
    </row>
    <row r="5" spans="1:17" ht="15" customHeight="1" x14ac:dyDescent="0.35">
      <c r="A5" s="16"/>
      <c r="B5" s="33"/>
      <c r="D5" s="33"/>
      <c r="E5" s="44"/>
      <c r="F5" s="44"/>
      <c r="G5" s="44"/>
      <c r="H5" s="44"/>
      <c r="I5" s="44"/>
      <c r="J5" s="78"/>
    </row>
    <row r="6" spans="1:17" ht="20.25" customHeight="1" x14ac:dyDescent="0.35">
      <c r="A6" s="16"/>
      <c r="B6" s="44"/>
      <c r="C6" s="187" t="s">
        <v>90</v>
      </c>
      <c r="D6" s="187"/>
      <c r="E6" s="187"/>
      <c r="F6" s="187"/>
      <c r="G6" s="187"/>
      <c r="H6" s="187"/>
      <c r="I6" s="187"/>
      <c r="J6" s="79"/>
    </row>
    <row r="7" spans="1:17" ht="13.5" customHeight="1" x14ac:dyDescent="0.25">
      <c r="A7" s="16"/>
      <c r="B7" s="33"/>
      <c r="C7" s="45"/>
      <c r="E7" s="45" t="s">
        <v>57</v>
      </c>
      <c r="F7" s="45"/>
      <c r="G7" s="45"/>
      <c r="I7" s="251" t="s">
        <v>148</v>
      </c>
      <c r="J7" s="251"/>
      <c r="K7" s="123"/>
      <c r="L7" s="59"/>
      <c r="M7" s="59"/>
      <c r="N7" s="59"/>
    </row>
    <row r="8" spans="1:17" x14ac:dyDescent="0.25">
      <c r="A8" s="16"/>
      <c r="B8" s="33"/>
      <c r="C8" s="29"/>
      <c r="D8" s="29"/>
      <c r="E8" s="29"/>
      <c r="F8" s="29"/>
      <c r="G8" s="29"/>
      <c r="I8" s="252" t="s">
        <v>187</v>
      </c>
      <c r="J8" s="252"/>
      <c r="K8" s="124"/>
      <c r="L8" s="60"/>
      <c r="M8" s="60"/>
      <c r="N8" s="60"/>
    </row>
    <row r="9" spans="1:17" x14ac:dyDescent="0.25">
      <c r="A9" s="16"/>
      <c r="J9" s="64"/>
    </row>
    <row r="10" spans="1:17" ht="19.5" x14ac:dyDescent="0.4">
      <c r="A10" s="16"/>
      <c r="B10" s="235" t="s">
        <v>18</v>
      </c>
      <c r="C10" s="235"/>
      <c r="D10" s="96">
        <v>6339</v>
      </c>
      <c r="H10" s="17" t="s">
        <v>8</v>
      </c>
      <c r="I10" s="253" t="s">
        <v>197</v>
      </c>
      <c r="J10" s="254"/>
    </row>
    <row r="11" spans="1:17" ht="15.75" thickBot="1" x14ac:dyDescent="0.3">
      <c r="A11" s="19"/>
      <c r="B11" s="3"/>
      <c r="C11" s="3" t="s">
        <v>20</v>
      </c>
      <c r="D11" s="3"/>
      <c r="E11" s="3"/>
      <c r="F11" s="3"/>
      <c r="G11" s="3"/>
      <c r="H11" s="3"/>
      <c r="I11" s="145" t="s">
        <v>175</v>
      </c>
      <c r="J11" s="80"/>
    </row>
    <row r="12" spans="1:17" ht="20.25" thickTop="1" thickBot="1" x14ac:dyDescent="0.35">
      <c r="A12" s="255" t="s">
        <v>63</v>
      </c>
      <c r="B12" s="256"/>
      <c r="C12" s="256"/>
      <c r="D12" s="256"/>
      <c r="E12" s="256"/>
      <c r="F12" s="256"/>
      <c r="G12" s="256"/>
      <c r="H12" s="256"/>
      <c r="I12" s="256"/>
      <c r="J12" s="257"/>
      <c r="K12" s="146"/>
      <c r="M12" s="118" t="s">
        <v>117</v>
      </c>
    </row>
    <row r="13" spans="1:17" ht="15.75" customHeight="1" thickBot="1" x14ac:dyDescent="0.3">
      <c r="A13" s="16"/>
      <c r="C13" s="107" t="s">
        <v>182</v>
      </c>
      <c r="D13" s="117" t="s">
        <v>201</v>
      </c>
      <c r="E13" s="117"/>
      <c r="F13" s="117"/>
      <c r="G13" s="117"/>
      <c r="H13" s="117"/>
      <c r="I13" s="117"/>
      <c r="J13" s="64"/>
      <c r="M13" s="118">
        <v>920</v>
      </c>
      <c r="N13" s="244" t="s">
        <v>118</v>
      </c>
      <c r="O13" s="245"/>
      <c r="P13" s="245"/>
      <c r="Q13" s="246"/>
    </row>
    <row r="14" spans="1:17" ht="15.75" customHeight="1" x14ac:dyDescent="0.25">
      <c r="A14" s="16"/>
      <c r="C14" s="147" t="s">
        <v>115</v>
      </c>
      <c r="D14" s="117" t="str">
        <f>VLOOKUP(M13,'[1]Registro de clientes'!$A$1:$D$150000,2)</f>
        <v xml:space="preserve">NB Foods </v>
      </c>
      <c r="E14" s="117"/>
      <c r="F14" s="117"/>
      <c r="G14" s="117"/>
      <c r="H14" s="117"/>
      <c r="I14" s="117"/>
      <c r="J14" s="64"/>
    </row>
    <row r="15" spans="1:17" ht="15.75" customHeight="1" x14ac:dyDescent="0.25">
      <c r="A15" s="16"/>
      <c r="C15" s="107" t="s">
        <v>116</v>
      </c>
      <c r="D15" s="117" t="s">
        <v>195</v>
      </c>
      <c r="E15" s="117"/>
      <c r="F15" s="117"/>
      <c r="G15" s="117"/>
      <c r="H15" s="117"/>
      <c r="I15" s="117"/>
      <c r="J15" s="64"/>
    </row>
    <row r="16" spans="1:17" x14ac:dyDescent="0.25">
      <c r="A16" s="16"/>
      <c r="D16" t="s">
        <v>196</v>
      </c>
      <c r="J16" s="64"/>
    </row>
    <row r="17" spans="1:12" ht="18" customHeight="1" x14ac:dyDescent="0.35">
      <c r="A17" s="16"/>
      <c r="B17" s="127"/>
      <c r="C17" s="127"/>
      <c r="D17" s="127"/>
      <c r="E17" s="127" t="s">
        <v>14</v>
      </c>
      <c r="F17" s="127"/>
      <c r="J17" s="135"/>
    </row>
    <row r="18" spans="1:12" x14ac:dyDescent="0.25">
      <c r="A18" s="16"/>
      <c r="B18" s="128"/>
      <c r="C18" s="51"/>
      <c r="D18" s="21"/>
      <c r="E18" s="209" t="s">
        <v>69</v>
      </c>
      <c r="F18" s="209"/>
      <c r="G18" s="209"/>
      <c r="H18" s="209"/>
      <c r="J18" s="64"/>
    </row>
    <row r="19" spans="1:12" ht="9.75" customHeight="1" x14ac:dyDescent="0.25">
      <c r="A19" s="16"/>
      <c r="B19" s="21"/>
      <c r="J19" s="135"/>
    </row>
    <row r="20" spans="1:12" x14ac:dyDescent="0.25">
      <c r="A20" s="16"/>
      <c r="B20" s="107" t="s">
        <v>0</v>
      </c>
      <c r="C20" s="129" t="s">
        <v>170</v>
      </c>
      <c r="D20" s="53"/>
      <c r="E20" s="51"/>
      <c r="F20" s="107" t="s">
        <v>5</v>
      </c>
      <c r="G20" s="53" t="s">
        <v>176</v>
      </c>
      <c r="H20" s="53"/>
      <c r="I20" s="107" t="s">
        <v>150</v>
      </c>
      <c r="J20" s="138" t="s">
        <v>193</v>
      </c>
    </row>
    <row r="21" spans="1:12" ht="10.5" customHeight="1" x14ac:dyDescent="0.25">
      <c r="A21" s="16"/>
      <c r="B21" s="104" t="s">
        <v>37</v>
      </c>
      <c r="C21" s="117"/>
      <c r="D21" s="112"/>
      <c r="E21" s="51"/>
      <c r="F21" s="103" t="s">
        <v>21</v>
      </c>
      <c r="G21" s="130"/>
      <c r="H21" s="130"/>
      <c r="I21" s="103" t="s">
        <v>151</v>
      </c>
      <c r="J21" s="135"/>
    </row>
    <row r="22" spans="1:12" x14ac:dyDescent="0.25">
      <c r="A22" s="16"/>
      <c r="B22" s="107" t="s">
        <v>98</v>
      </c>
      <c r="C22" s="155" t="s">
        <v>199</v>
      </c>
      <c r="D22" s="129" t="s">
        <v>156</v>
      </c>
      <c r="E22" s="51"/>
      <c r="F22" s="107" t="s">
        <v>152</v>
      </c>
      <c r="G22" s="53">
        <v>0.47</v>
      </c>
      <c r="H22" s="129" t="s">
        <v>156</v>
      </c>
      <c r="I22" s="107" t="s">
        <v>162</v>
      </c>
      <c r="J22" s="136" t="s">
        <v>190</v>
      </c>
    </row>
    <row r="23" spans="1:12" ht="10.5" customHeight="1" x14ac:dyDescent="0.25">
      <c r="A23" s="16"/>
      <c r="B23" s="104" t="s">
        <v>153</v>
      </c>
      <c r="D23" s="112"/>
      <c r="E23" s="51"/>
      <c r="F23" s="103" t="s">
        <v>22</v>
      </c>
      <c r="G23" s="130"/>
      <c r="H23" s="130"/>
      <c r="I23" s="137" t="s">
        <v>163</v>
      </c>
      <c r="J23" s="64"/>
    </row>
    <row r="24" spans="1:12" x14ac:dyDescent="0.25">
      <c r="A24" s="16"/>
      <c r="B24" s="107" t="s">
        <v>2</v>
      </c>
      <c r="C24" s="112" t="s">
        <v>191</v>
      </c>
      <c r="D24" s="53"/>
      <c r="E24" s="51"/>
      <c r="F24" s="107" t="s">
        <v>1</v>
      </c>
      <c r="G24" s="53">
        <v>211</v>
      </c>
      <c r="H24" s="53"/>
      <c r="I24" s="107" t="s">
        <v>160</v>
      </c>
      <c r="J24" s="148" t="s">
        <v>200</v>
      </c>
    </row>
    <row r="25" spans="1:12" ht="11.25" customHeight="1" x14ac:dyDescent="0.25">
      <c r="A25" s="16"/>
      <c r="B25" s="104" t="s">
        <v>23</v>
      </c>
      <c r="C25" s="117"/>
      <c r="D25" s="112"/>
      <c r="E25" s="51"/>
      <c r="F25" s="103" t="s">
        <v>24</v>
      </c>
      <c r="G25" s="130"/>
      <c r="H25" s="130"/>
      <c r="I25" s="103" t="s">
        <v>161</v>
      </c>
      <c r="J25" s="64"/>
    </row>
    <row r="26" spans="1:12" ht="15.75" customHeight="1" x14ac:dyDescent="0.25">
      <c r="A26" s="16"/>
      <c r="B26" s="107" t="s">
        <v>99</v>
      </c>
      <c r="C26" s="112" t="s">
        <v>198</v>
      </c>
      <c r="D26" s="53"/>
      <c r="E26" s="51"/>
      <c r="F26" s="107"/>
      <c r="G26" s="134"/>
      <c r="I26" s="107" t="s">
        <v>179</v>
      </c>
      <c r="J26" s="136" t="s">
        <v>194</v>
      </c>
    </row>
    <row r="27" spans="1:12" ht="12.75" customHeight="1" x14ac:dyDescent="0.25">
      <c r="A27" s="16"/>
      <c r="B27" s="104" t="s">
        <v>181</v>
      </c>
      <c r="C27" s="117"/>
      <c r="D27" s="51"/>
      <c r="E27" s="51"/>
      <c r="F27" s="103"/>
      <c r="G27" s="134"/>
      <c r="I27" s="103" t="s">
        <v>180</v>
      </c>
      <c r="J27" s="139"/>
    </row>
    <row r="28" spans="1:12" ht="10.5" customHeight="1" x14ac:dyDescent="0.25">
      <c r="A28" s="16"/>
      <c r="B28" s="101"/>
      <c r="J28" s="64"/>
    </row>
    <row r="29" spans="1:12" x14ac:dyDescent="0.25">
      <c r="A29" s="16"/>
      <c r="B29" s="107" t="s">
        <v>6</v>
      </c>
      <c r="C29" s="131"/>
      <c r="D29" s="210">
        <v>46196</v>
      </c>
      <c r="E29" s="210"/>
      <c r="G29" s="2"/>
      <c r="H29" s="107" t="s">
        <v>7</v>
      </c>
      <c r="I29" s="210">
        <v>46209</v>
      </c>
      <c r="J29" s="211"/>
    </row>
    <row r="30" spans="1:12" ht="9.75" customHeight="1" x14ac:dyDescent="0.25">
      <c r="A30" s="16"/>
      <c r="B30" s="104" t="s">
        <v>26</v>
      </c>
      <c r="D30" s="132"/>
      <c r="E30" s="132"/>
      <c r="G30" s="133"/>
      <c r="H30" s="104" t="s">
        <v>27</v>
      </c>
      <c r="I30" s="104"/>
      <c r="J30" s="64"/>
      <c r="K30" s="11"/>
      <c r="L30" s="56"/>
    </row>
    <row r="31" spans="1:12" ht="15" customHeight="1" x14ac:dyDescent="0.25">
      <c r="A31" s="16"/>
      <c r="B31" s="107" t="s">
        <v>154</v>
      </c>
      <c r="C31" s="131"/>
      <c r="D31" s="210">
        <f>I29+2</f>
        <v>46211</v>
      </c>
      <c r="E31" s="210"/>
      <c r="H31" s="107" t="s">
        <v>38</v>
      </c>
      <c r="I31" s="212">
        <v>46574</v>
      </c>
      <c r="J31" s="213"/>
    </row>
    <row r="32" spans="1:12" ht="9.75" customHeight="1" x14ac:dyDescent="0.25">
      <c r="A32" s="16"/>
      <c r="B32" s="104" t="s">
        <v>155</v>
      </c>
      <c r="D32" s="132"/>
      <c r="E32" s="132"/>
      <c r="H32" s="104" t="s">
        <v>28</v>
      </c>
      <c r="I32" s="104"/>
      <c r="J32" s="64"/>
      <c r="K32" s="11"/>
      <c r="L32" s="11"/>
    </row>
    <row r="33" spans="1:24" ht="21" x14ac:dyDescent="0.25">
      <c r="A33" s="16"/>
      <c r="J33" s="64"/>
      <c r="N33" s="16"/>
      <c r="O33" s="34"/>
      <c r="P33" s="34"/>
      <c r="Q33" s="51"/>
      <c r="R33" s="174"/>
      <c r="S33" s="174"/>
      <c r="T33" s="174"/>
      <c r="U33" s="174"/>
      <c r="X33" s="64"/>
    </row>
    <row r="34" spans="1:24" ht="15" customHeight="1" x14ac:dyDescent="0.25">
      <c r="A34" s="16"/>
      <c r="B34" s="34"/>
      <c r="C34" s="34"/>
      <c r="D34" s="51"/>
      <c r="E34" s="174" t="s">
        <v>61</v>
      </c>
      <c r="F34" s="174"/>
      <c r="G34" s="174"/>
      <c r="H34" s="174"/>
      <c r="J34" s="64"/>
      <c r="N34" s="16"/>
      <c r="O34" s="21"/>
      <c r="R34" s="175"/>
      <c r="S34" s="175"/>
      <c r="X34" s="64"/>
    </row>
    <row r="35" spans="1:24" x14ac:dyDescent="0.25">
      <c r="A35" s="16"/>
      <c r="B35" s="21"/>
      <c r="E35" s="175" t="s">
        <v>62</v>
      </c>
      <c r="F35" s="175"/>
      <c r="J35" s="64"/>
      <c r="N35" s="16"/>
      <c r="X35" s="64"/>
    </row>
    <row r="36" spans="1:24" ht="10.5" customHeight="1" x14ac:dyDescent="0.25">
      <c r="A36" s="65"/>
      <c r="B36" s="6"/>
      <c r="C36" s="6"/>
      <c r="D36" s="54"/>
      <c r="E36" s="55"/>
      <c r="F36" s="54"/>
      <c r="G36" s="66"/>
      <c r="H36" s="6"/>
      <c r="I36" s="54"/>
      <c r="J36" s="67"/>
      <c r="N36" s="16"/>
      <c r="O36" s="107"/>
      <c r="P36" s="176"/>
      <c r="Q36" s="176"/>
      <c r="R36" s="176"/>
      <c r="T36" s="107"/>
      <c r="U36" s="101"/>
      <c r="V36" s="116"/>
      <c r="X36" s="64"/>
    </row>
    <row r="37" spans="1:24" x14ac:dyDescent="0.25">
      <c r="A37" s="68"/>
      <c r="B37" s="107" t="s">
        <v>0</v>
      </c>
      <c r="D37" s="225" t="s">
        <v>114</v>
      </c>
      <c r="E37" s="225"/>
      <c r="G37" s="107" t="s">
        <v>5</v>
      </c>
      <c r="H37" s="101"/>
      <c r="I37" s="116" t="s">
        <v>97</v>
      </c>
      <c r="J37" s="64"/>
      <c r="N37" s="16"/>
      <c r="O37" s="102"/>
      <c r="Q37" s="112"/>
      <c r="R37" s="112"/>
      <c r="T37" s="103"/>
      <c r="U37" s="101"/>
      <c r="V37" s="112"/>
      <c r="W37" s="11"/>
      <c r="X37" s="89"/>
    </row>
    <row r="38" spans="1:24" s="11" customFormat="1" ht="10.5" customHeight="1" x14ac:dyDescent="0.25">
      <c r="A38" s="65"/>
      <c r="B38" s="102" t="s">
        <v>29</v>
      </c>
      <c r="C38"/>
      <c r="D38" s="51"/>
      <c r="E38" s="51"/>
      <c r="F38"/>
      <c r="G38" s="103" t="s">
        <v>21</v>
      </c>
      <c r="H38" s="101"/>
      <c r="I38" s="51"/>
      <c r="J38" s="89"/>
      <c r="K38"/>
      <c r="L38"/>
      <c r="N38" s="16"/>
      <c r="O38" s="107"/>
      <c r="P38"/>
      <c r="Q38" s="177"/>
      <c r="R38" s="177"/>
      <c r="S38"/>
      <c r="T38" s="107"/>
      <c r="U38" s="101"/>
      <c r="V38" s="115"/>
      <c r="W38"/>
      <c r="X38" s="64"/>
    </row>
    <row r="39" spans="1:24" x14ac:dyDescent="0.25">
      <c r="A39" s="68"/>
      <c r="B39" s="107" t="s">
        <v>98</v>
      </c>
      <c r="D39" s="117" t="s">
        <v>173</v>
      </c>
      <c r="E39" s="117"/>
      <c r="G39" s="107" t="s">
        <v>3</v>
      </c>
      <c r="H39" s="101"/>
      <c r="I39" s="115">
        <v>0.01</v>
      </c>
      <c r="J39" s="125" t="s">
        <v>81</v>
      </c>
      <c r="N39" s="16"/>
      <c r="O39" s="104"/>
      <c r="Q39" s="112"/>
      <c r="R39" s="112"/>
      <c r="T39" s="103"/>
      <c r="U39" s="101"/>
      <c r="V39" s="116"/>
      <c r="W39" s="11"/>
      <c r="X39" s="89"/>
    </row>
    <row r="40" spans="1:24" s="11" customFormat="1" ht="10.5" customHeight="1" x14ac:dyDescent="0.25">
      <c r="A40" s="65"/>
      <c r="B40" s="104" t="s">
        <v>39</v>
      </c>
      <c r="C40"/>
      <c r="D40" s="51"/>
      <c r="E40" s="51"/>
      <c r="F40"/>
      <c r="G40" s="103" t="s">
        <v>22</v>
      </c>
      <c r="H40" s="101"/>
      <c r="I40" s="112"/>
      <c r="J40" s="89"/>
      <c r="K40"/>
      <c r="L40"/>
      <c r="N40" s="16"/>
      <c r="O40" s="107"/>
      <c r="P40"/>
      <c r="Q40" s="178"/>
      <c r="R40" s="178"/>
      <c r="S40"/>
      <c r="T40" s="107"/>
      <c r="U40" s="101"/>
      <c r="V40" s="112"/>
      <c r="W40"/>
      <c r="X40" s="64"/>
    </row>
    <row r="41" spans="1:24" x14ac:dyDescent="0.25">
      <c r="A41" s="68"/>
      <c r="B41" s="107" t="s">
        <v>2</v>
      </c>
      <c r="D41" s="225">
        <v>262050</v>
      </c>
      <c r="E41" s="225"/>
      <c r="G41" s="107" t="s">
        <v>1</v>
      </c>
      <c r="H41" s="101"/>
      <c r="I41" s="112" t="s">
        <v>149</v>
      </c>
      <c r="J41" s="64"/>
      <c r="N41" s="22"/>
      <c r="O41" s="104"/>
      <c r="S41" s="11"/>
      <c r="T41" s="103"/>
      <c r="U41" s="106"/>
      <c r="V41" s="130"/>
      <c r="X41" s="64"/>
    </row>
    <row r="42" spans="1:24" ht="13.5" customHeight="1" x14ac:dyDescent="0.25">
      <c r="A42" s="65"/>
      <c r="B42" s="104" t="s">
        <v>30</v>
      </c>
      <c r="C42" s="11"/>
      <c r="D42" s="105"/>
      <c r="E42" s="105"/>
      <c r="F42" s="11"/>
      <c r="G42" s="103" t="s">
        <v>24</v>
      </c>
      <c r="H42" s="106"/>
      <c r="I42" s="105"/>
      <c r="J42" s="64"/>
      <c r="N42" s="16"/>
      <c r="O42" s="107"/>
      <c r="Q42" s="112"/>
      <c r="R42" s="112"/>
      <c r="T42" s="107"/>
      <c r="U42" s="101"/>
      <c r="V42" s="114"/>
      <c r="X42" s="64"/>
    </row>
    <row r="43" spans="1:24" x14ac:dyDescent="0.25">
      <c r="A43" s="69"/>
      <c r="B43" s="107" t="s">
        <v>99</v>
      </c>
      <c r="D43" s="112" t="s">
        <v>174</v>
      </c>
      <c r="E43" s="51"/>
      <c r="G43" s="107" t="s">
        <v>4</v>
      </c>
      <c r="H43" s="101"/>
      <c r="I43" s="114">
        <v>46726</v>
      </c>
      <c r="J43" s="64"/>
      <c r="N43" s="22"/>
      <c r="O43" s="103"/>
      <c r="P43" s="11"/>
      <c r="R43" s="130"/>
      <c r="S43" s="11"/>
      <c r="T43" s="103"/>
      <c r="U43" s="106"/>
      <c r="V43" s="114"/>
      <c r="X43" s="64"/>
    </row>
    <row r="44" spans="1:24" ht="12" customHeight="1" x14ac:dyDescent="0.25">
      <c r="A44" s="65"/>
      <c r="B44" s="103" t="s">
        <v>25</v>
      </c>
      <c r="C44" s="11"/>
      <c r="D44" s="105"/>
      <c r="E44" s="105"/>
      <c r="F44" s="11"/>
      <c r="G44" s="103" t="s">
        <v>31</v>
      </c>
      <c r="H44" s="106"/>
      <c r="I44" s="111"/>
      <c r="J44" s="64"/>
      <c r="N44" s="16"/>
      <c r="O44" s="107"/>
      <c r="Q44" s="179"/>
      <c r="R44" s="179"/>
      <c r="T44" s="107"/>
      <c r="U44" s="101"/>
      <c r="V44" s="113"/>
      <c r="W44" s="143"/>
      <c r="X44" s="64"/>
    </row>
    <row r="45" spans="1:24" ht="14.25" customHeight="1" x14ac:dyDescent="0.25">
      <c r="A45" s="69"/>
      <c r="B45" s="107" t="s">
        <v>100</v>
      </c>
      <c r="D45" s="179" t="s">
        <v>192</v>
      </c>
      <c r="E45" s="179"/>
      <c r="G45" s="107" t="s">
        <v>101</v>
      </c>
      <c r="H45" s="101"/>
      <c r="I45" s="113">
        <v>0.14000000000000001</v>
      </c>
      <c r="J45" s="126" t="s">
        <v>81</v>
      </c>
      <c r="N45" s="16"/>
      <c r="O45" s="103"/>
      <c r="Q45" s="179"/>
      <c r="R45" s="179"/>
      <c r="T45" s="103"/>
      <c r="U45" s="101"/>
      <c r="V45" s="144"/>
      <c r="W45" s="143"/>
      <c r="X45" s="64"/>
    </row>
    <row r="46" spans="1:24" x14ac:dyDescent="0.25">
      <c r="A46" s="16"/>
      <c r="B46" s="103" t="s">
        <v>19</v>
      </c>
      <c r="G46" s="103" t="s">
        <v>109</v>
      </c>
      <c r="H46" s="101"/>
      <c r="I46" s="99">
        <v>0.01</v>
      </c>
      <c r="J46" s="64" t="s">
        <v>156</v>
      </c>
    </row>
    <row r="47" spans="1:24" ht="15" customHeight="1" x14ac:dyDescent="0.25">
      <c r="A47" s="16"/>
      <c r="J47" s="64"/>
    </row>
    <row r="48" spans="1:24" ht="17.25" customHeight="1" x14ac:dyDescent="0.25">
      <c r="A48" s="16"/>
      <c r="B48" s="34"/>
      <c r="C48" s="34"/>
      <c r="E48" s="174" t="s">
        <v>9</v>
      </c>
      <c r="F48" s="174"/>
      <c r="G48" s="174"/>
      <c r="H48" s="174"/>
      <c r="J48" s="64"/>
    </row>
    <row r="49" spans="1:21" x14ac:dyDescent="0.25">
      <c r="A49" s="16"/>
      <c r="B49" s="21"/>
      <c r="E49" s="194" t="s">
        <v>32</v>
      </c>
      <c r="F49" s="194"/>
      <c r="J49" s="64"/>
    </row>
    <row r="50" spans="1:21" ht="10.5" customHeight="1" x14ac:dyDescent="0.25">
      <c r="A50" s="16"/>
      <c r="J50" s="64"/>
    </row>
    <row r="51" spans="1:21" ht="15" customHeight="1" x14ac:dyDescent="0.25">
      <c r="A51" s="16"/>
      <c r="B51" s="107" t="s">
        <v>10</v>
      </c>
      <c r="C51" s="149">
        <v>0.52600000000000002</v>
      </c>
      <c r="D51" s="195" t="s">
        <v>11</v>
      </c>
      <c r="E51" s="195"/>
      <c r="F51" s="52">
        <v>20.5</v>
      </c>
      <c r="G51" s="35"/>
      <c r="H51" s="193" t="s">
        <v>12</v>
      </c>
      <c r="I51" s="193"/>
      <c r="J51" s="81">
        <v>20.5</v>
      </c>
    </row>
    <row r="52" spans="1:21" ht="10.5" customHeight="1" x14ac:dyDescent="0.25">
      <c r="A52" s="16"/>
      <c r="B52" s="104" t="s">
        <v>33</v>
      </c>
      <c r="D52" s="196" t="s">
        <v>52</v>
      </c>
      <c r="E52" s="196"/>
      <c r="G52" s="36"/>
      <c r="H52" s="200" t="s">
        <v>34</v>
      </c>
      <c r="I52" s="200"/>
      <c r="J52" s="64"/>
    </row>
    <row r="53" spans="1:21" x14ac:dyDescent="0.25">
      <c r="A53" s="16"/>
      <c r="B53" s="107"/>
      <c r="E53" s="33"/>
      <c r="G53" s="32"/>
      <c r="H53" s="32"/>
      <c r="I53" s="33"/>
      <c r="J53" s="64"/>
    </row>
    <row r="54" spans="1:21" ht="10.5" customHeight="1" x14ac:dyDescent="0.25">
      <c r="A54" s="16"/>
      <c r="B54" s="104"/>
      <c r="E54" s="33"/>
      <c r="G54" s="198"/>
      <c r="H54" s="198"/>
      <c r="I54" s="33"/>
      <c r="J54" s="64"/>
    </row>
    <row r="55" spans="1:21" x14ac:dyDescent="0.25">
      <c r="A55" s="16"/>
      <c r="B55" s="107" t="s">
        <v>46</v>
      </c>
      <c r="D55" s="247" t="s">
        <v>120</v>
      </c>
      <c r="E55" s="247"/>
      <c r="F55" s="247"/>
      <c r="G55" s="247"/>
      <c r="H55" s="247"/>
      <c r="I55" s="247"/>
      <c r="J55" s="248"/>
    </row>
    <row r="56" spans="1:21" ht="10.5" customHeight="1" x14ac:dyDescent="0.25">
      <c r="A56" s="16"/>
      <c r="B56" s="104" t="s">
        <v>47</v>
      </c>
      <c r="D56" s="249" t="s">
        <v>123</v>
      </c>
      <c r="E56" s="249"/>
      <c r="F56" s="249"/>
      <c r="G56" s="249"/>
      <c r="H56" s="249"/>
      <c r="I56" s="249"/>
      <c r="J56" s="250"/>
    </row>
    <row r="57" spans="1:21" x14ac:dyDescent="0.25">
      <c r="A57" s="16"/>
      <c r="B57" s="107" t="s">
        <v>13</v>
      </c>
      <c r="D57" t="s">
        <v>157</v>
      </c>
      <c r="F57" s="1"/>
      <c r="G57" s="1"/>
      <c r="J57" s="70"/>
    </row>
    <row r="58" spans="1:21" ht="9.75" customHeight="1" x14ac:dyDescent="0.25">
      <c r="A58" s="16"/>
      <c r="B58" s="104" t="s">
        <v>35</v>
      </c>
      <c r="D58" s="37" t="s">
        <v>158</v>
      </c>
      <c r="E58" s="38"/>
      <c r="F58" s="18"/>
      <c r="G58" s="18"/>
      <c r="H58" s="23"/>
      <c r="I58" s="23"/>
      <c r="J58" s="64"/>
    </row>
    <row r="59" spans="1:21" x14ac:dyDescent="0.25">
      <c r="A59" s="16"/>
      <c r="B59" s="107" t="s">
        <v>15</v>
      </c>
      <c r="D59" s="1" t="s">
        <v>16</v>
      </c>
      <c r="E59" s="1"/>
      <c r="G59" s="2" t="s">
        <v>17</v>
      </c>
      <c r="H59" s="1" t="s">
        <v>159</v>
      </c>
      <c r="I59" s="1"/>
      <c r="J59" s="64"/>
    </row>
    <row r="60" spans="1:21" ht="9.75" customHeight="1" x14ac:dyDescent="0.25">
      <c r="A60" s="16"/>
      <c r="B60" s="104" t="s">
        <v>48</v>
      </c>
      <c r="D60" s="40" t="s">
        <v>49</v>
      </c>
      <c r="E60" s="18"/>
      <c r="G60" s="39" t="s">
        <v>36</v>
      </c>
      <c r="J60" s="82"/>
    </row>
    <row r="61" spans="1:21" ht="18.75" x14ac:dyDescent="0.25">
      <c r="A61" s="16"/>
      <c r="B61" s="191" t="s">
        <v>110</v>
      </c>
      <c r="C61" s="191"/>
      <c r="D61" s="191"/>
      <c r="E61" s="191"/>
      <c r="G61" s="191" t="s">
        <v>50</v>
      </c>
      <c r="H61" s="191"/>
      <c r="I61" s="191"/>
      <c r="J61" s="192"/>
      <c r="S61" s="24"/>
      <c r="T61" s="24"/>
      <c r="U61" s="24"/>
    </row>
    <row r="62" spans="1:21" ht="15" customHeight="1" x14ac:dyDescent="0.25">
      <c r="A62" s="16"/>
      <c r="J62" s="64"/>
      <c r="S62" s="10"/>
      <c r="T62" s="10"/>
      <c r="U62" s="10"/>
    </row>
    <row r="63" spans="1:21" ht="15" customHeight="1" x14ac:dyDescent="0.25">
      <c r="A63" s="16"/>
      <c r="G63" s="1"/>
      <c r="J63" s="64"/>
      <c r="S63" s="10"/>
      <c r="T63" s="10"/>
      <c r="U63" s="10"/>
    </row>
    <row r="64" spans="1:21" ht="14.25" customHeight="1" x14ac:dyDescent="0.25">
      <c r="A64" s="16"/>
      <c r="B64" s="197" t="s">
        <v>172</v>
      </c>
      <c r="C64" s="197"/>
      <c r="D64" s="197"/>
      <c r="E64" s="197"/>
      <c r="G64" s="197" t="s">
        <v>183</v>
      </c>
      <c r="H64" s="197"/>
      <c r="I64" s="197"/>
      <c r="J64" s="199"/>
    </row>
    <row r="65" spans="1:19" ht="15.75" thickBot="1" x14ac:dyDescent="0.3">
      <c r="A65" s="19" t="s">
        <v>65</v>
      </c>
      <c r="B65" s="3"/>
      <c r="C65" s="3"/>
      <c r="D65" s="3"/>
      <c r="E65" s="3"/>
      <c r="F65" s="3" t="s">
        <v>51</v>
      </c>
      <c r="G65" s="3"/>
      <c r="H65" s="3"/>
      <c r="I65" s="3"/>
      <c r="J65" s="83" t="s">
        <v>66</v>
      </c>
    </row>
    <row r="66" spans="1:19" ht="15" customHeight="1" thickTop="1" x14ac:dyDescent="0.35">
      <c r="A66" s="15"/>
      <c r="B66" s="14"/>
      <c r="C66" s="14"/>
      <c r="D66" s="14"/>
      <c r="E66" s="14"/>
      <c r="F66" s="14"/>
      <c r="G66" s="14"/>
      <c r="H66" s="14"/>
      <c r="I66" s="14"/>
      <c r="J66" s="84"/>
    </row>
    <row r="67" spans="1:19" ht="15.75" customHeight="1" x14ac:dyDescent="0.25">
      <c r="A67" s="16"/>
      <c r="C67" s="184" t="s">
        <v>184</v>
      </c>
      <c r="D67" s="184"/>
      <c r="E67" s="184"/>
      <c r="F67" s="184"/>
      <c r="G67" s="184"/>
      <c r="H67" s="184"/>
      <c r="I67" s="184"/>
      <c r="J67" s="75"/>
    </row>
    <row r="68" spans="1:19" ht="12" customHeight="1" thickBot="1" x14ac:dyDescent="0.3">
      <c r="A68" s="16"/>
      <c r="C68" s="185" t="s">
        <v>185</v>
      </c>
      <c r="D68" s="185"/>
      <c r="E68" s="185"/>
      <c r="F68" s="185"/>
      <c r="G68" s="185"/>
      <c r="H68" s="185"/>
      <c r="I68" s="185"/>
      <c r="J68" s="76"/>
    </row>
    <row r="69" spans="1:19" ht="15" customHeight="1" thickBot="1" x14ac:dyDescent="0.3">
      <c r="A69" s="16"/>
      <c r="C69" s="186" t="s">
        <v>186</v>
      </c>
      <c r="D69" s="186"/>
      <c r="E69" s="186"/>
      <c r="F69" s="186"/>
      <c r="G69" s="186"/>
      <c r="H69" s="186"/>
      <c r="I69" s="186"/>
      <c r="J69" s="77"/>
      <c r="Q69" s="108" t="s">
        <v>111</v>
      </c>
    </row>
    <row r="70" spans="1:19" ht="15" customHeight="1" thickBot="1" x14ac:dyDescent="0.4">
      <c r="A70" s="16"/>
      <c r="C70" s="214" t="s">
        <v>82</v>
      </c>
      <c r="D70" s="214"/>
      <c r="E70" s="214"/>
      <c r="F70" s="214"/>
      <c r="G70" s="214"/>
      <c r="H70" s="214"/>
      <c r="I70" s="214"/>
      <c r="J70" s="79"/>
      <c r="Q70" s="109">
        <f>ABS(MAX(C79:H79)-MIN(C79:H79))</f>
        <v>9.9999999999999645E-2</v>
      </c>
    </row>
    <row r="71" spans="1:19" ht="15" customHeight="1" thickBot="1" x14ac:dyDescent="0.4">
      <c r="A71" s="16"/>
      <c r="C71" s="214"/>
      <c r="D71" s="214"/>
      <c r="E71" s="214"/>
      <c r="F71" s="214"/>
      <c r="G71" s="214"/>
      <c r="H71" s="214"/>
      <c r="I71" s="214"/>
      <c r="J71" s="79"/>
      <c r="Q71" s="109">
        <f>ABS(MAX(C80:H80)-MIN(C80:H80))</f>
        <v>0.10000000000000053</v>
      </c>
    </row>
    <row r="72" spans="1:19" ht="15" customHeight="1" thickBot="1" x14ac:dyDescent="0.3">
      <c r="A72" s="16"/>
      <c r="C72" s="29"/>
      <c r="D72" s="29"/>
      <c r="E72" s="190" t="s">
        <v>56</v>
      </c>
      <c r="F72" s="190"/>
      <c r="G72" s="29"/>
      <c r="H72" s="29"/>
      <c r="I72" s="29"/>
      <c r="J72" s="85"/>
      <c r="Q72" s="109">
        <f>ABS(MAX(C81:H81)-MIN(C81:H81))</f>
        <v>0</v>
      </c>
    </row>
    <row r="73" spans="1:19" ht="15.75" customHeight="1" thickBot="1" x14ac:dyDescent="0.45">
      <c r="A73" s="16"/>
      <c r="F73" s="141"/>
      <c r="G73" s="141"/>
      <c r="H73" s="30" t="s">
        <v>8</v>
      </c>
      <c r="I73" s="203" t="str">
        <f>I10</f>
        <v>MYCA-07-26-4321</v>
      </c>
      <c r="J73" s="204"/>
      <c r="Q73" s="109">
        <f>ABS(MAX(C82:H82)-MIN(C82:H82))</f>
        <v>0</v>
      </c>
    </row>
    <row r="74" spans="1:19" x14ac:dyDescent="0.25">
      <c r="A74" s="16"/>
      <c r="C74" s="33"/>
      <c r="H74" s="42" t="s">
        <v>19</v>
      </c>
      <c r="J74" s="64"/>
      <c r="Q74" s="109">
        <f>ABS(MAX(C83:H83)-MIN(C83:H83))</f>
        <v>0</v>
      </c>
    </row>
    <row r="75" spans="1:19" ht="15.75" customHeight="1" x14ac:dyDescent="0.4">
      <c r="A75" s="16"/>
      <c r="B75" s="12"/>
      <c r="C75" s="12"/>
      <c r="D75" s="13"/>
      <c r="H75" s="17"/>
      <c r="I75" s="31" t="s">
        <v>44</v>
      </c>
      <c r="J75" s="86" t="s">
        <v>156</v>
      </c>
    </row>
    <row r="76" spans="1:19" ht="16.5" thickBot="1" x14ac:dyDescent="0.3">
      <c r="A76" s="16"/>
      <c r="B76" s="142"/>
      <c r="C76" s="142"/>
      <c r="D76" s="142"/>
      <c r="E76" s="142"/>
      <c r="F76" s="142"/>
      <c r="G76" s="142"/>
      <c r="H76" s="142"/>
      <c r="I76" s="41" t="s">
        <v>43</v>
      </c>
      <c r="J76" s="64"/>
      <c r="N76" s="33" t="s">
        <v>103</v>
      </c>
    </row>
    <row r="77" spans="1:19" ht="24.95" customHeight="1" x14ac:dyDescent="0.25">
      <c r="A77" s="205" t="s">
        <v>102</v>
      </c>
      <c r="B77" s="224" t="s">
        <v>177</v>
      </c>
      <c r="C77" s="221" t="s">
        <v>59</v>
      </c>
      <c r="D77" s="222"/>
      <c r="E77" s="222"/>
      <c r="F77" s="222"/>
      <c r="G77" s="222"/>
      <c r="H77" s="223"/>
      <c r="I77" s="188" t="s">
        <v>108</v>
      </c>
      <c r="J77" s="188" t="s">
        <v>178</v>
      </c>
      <c r="K77" s="228" t="s">
        <v>87</v>
      </c>
      <c r="L77" s="182" t="s">
        <v>88</v>
      </c>
      <c r="M77" s="182" t="s">
        <v>91</v>
      </c>
      <c r="N77" s="182" t="s">
        <v>92</v>
      </c>
      <c r="O77" s="226" t="s">
        <v>93</v>
      </c>
      <c r="P77" s="226" t="s">
        <v>94</v>
      </c>
      <c r="Q77" s="182" t="s">
        <v>95</v>
      </c>
      <c r="R77" s="182" t="s">
        <v>89</v>
      </c>
      <c r="S77" s="180" t="s">
        <v>96</v>
      </c>
    </row>
    <row r="78" spans="1:19" ht="24.95" customHeight="1" thickBot="1" x14ac:dyDescent="0.3">
      <c r="A78" s="206"/>
      <c r="B78" s="220"/>
      <c r="C78" s="201" t="s">
        <v>70</v>
      </c>
      <c r="D78" s="202"/>
      <c r="E78" s="201" t="s">
        <v>71</v>
      </c>
      <c r="F78" s="202"/>
      <c r="G78" s="201" t="s">
        <v>72</v>
      </c>
      <c r="H78" s="202"/>
      <c r="I78" s="189"/>
      <c r="J78" s="189"/>
      <c r="K78" s="229"/>
      <c r="L78" s="183"/>
      <c r="M78" s="183"/>
      <c r="N78" s="183"/>
      <c r="O78" s="227"/>
      <c r="P78" s="227"/>
      <c r="Q78" s="183"/>
      <c r="R78" s="183"/>
      <c r="S78" s="181"/>
    </row>
    <row r="79" spans="1:19" x14ac:dyDescent="0.25">
      <c r="A79" s="152" t="s">
        <v>73</v>
      </c>
      <c r="B79" s="161">
        <v>6.7</v>
      </c>
      <c r="C79" s="230">
        <v>6.7</v>
      </c>
      <c r="D79" s="231"/>
      <c r="E79" s="230">
        <v>6.8</v>
      </c>
      <c r="F79" s="231"/>
      <c r="G79" s="230">
        <v>6.7</v>
      </c>
      <c r="H79" s="231"/>
      <c r="I79" s="153">
        <f>AVERAGE(C79:H79)-B79</f>
        <v>3.3333333333333215E-2</v>
      </c>
      <c r="J79" s="153">
        <f>S79</f>
        <v>0.54691096664979011</v>
      </c>
      <c r="K79" s="110">
        <f>AVERAGE(C79:H79)</f>
        <v>6.7333333333333334</v>
      </c>
      <c r="L79" s="93">
        <f>_xlfn.STDEV.S(C79:H79)</f>
        <v>5.7735026918962373E-2</v>
      </c>
      <c r="M79" s="93">
        <f>L79/SQRT(3)</f>
        <v>3.3333333333333215E-2</v>
      </c>
      <c r="N79" s="93">
        <f>(I$46/2)/14.223</f>
        <v>3.5154327497714967E-4</v>
      </c>
      <c r="O79" s="93">
        <f>($G$22)/(SQRT(3))</f>
        <v>0.27135462651912412</v>
      </c>
      <c r="P79" s="93">
        <f>I$39/(SQRT(3))</f>
        <v>5.773502691896258E-3</v>
      </c>
      <c r="Q79" s="93">
        <f>SQRT((M79^2)+(N79^2)+(O79^2)+(P79^2))</f>
        <v>0.27345548332489505</v>
      </c>
      <c r="R79" s="94">
        <v>2</v>
      </c>
      <c r="S79" s="92">
        <f>Q79*R79</f>
        <v>0.54691096664979011</v>
      </c>
    </row>
    <row r="80" spans="1:19" ht="15.75" thickBot="1" x14ac:dyDescent="0.3">
      <c r="A80" s="150" t="s">
        <v>74</v>
      </c>
      <c r="B80" s="162">
        <v>6.4</v>
      </c>
      <c r="C80" s="215">
        <v>6.3</v>
      </c>
      <c r="D80" s="216"/>
      <c r="E80" s="215">
        <v>6.3</v>
      </c>
      <c r="F80" s="216"/>
      <c r="G80" s="215">
        <v>6.4</v>
      </c>
      <c r="H80" s="216"/>
      <c r="I80" s="151">
        <f>AVERAGE(C80:H80)-B80</f>
        <v>-6.6666666666667318E-2</v>
      </c>
      <c r="J80" s="163">
        <f>S80</f>
        <v>0.54691096664979022</v>
      </c>
      <c r="K80" s="110">
        <f>AVERAGE(C80:H80)</f>
        <v>6.333333333333333</v>
      </c>
      <c r="L80" s="93">
        <f>_xlfn.STDEV.S(C80:H80)</f>
        <v>5.773502691896288E-2</v>
      </c>
      <c r="M80" s="93">
        <f t="shared" ref="M80" si="0">L80/SQRT(3)</f>
        <v>3.3333333333333513E-2</v>
      </c>
      <c r="N80" s="93">
        <f>(I$46/2)/14.223</f>
        <v>3.5154327497714967E-4</v>
      </c>
      <c r="O80" s="93">
        <f>($G$22)/(SQRT(3))</f>
        <v>0.27135462651912412</v>
      </c>
      <c r="P80" s="93">
        <f>I$39/(SQRT(3))</f>
        <v>5.773502691896258E-3</v>
      </c>
      <c r="Q80" s="93">
        <f>SQRT((M80^2)+(N80^2)+(O80^2)+(P80^2))</f>
        <v>0.27345548332489511</v>
      </c>
      <c r="R80" s="94">
        <v>2</v>
      </c>
      <c r="S80" s="92">
        <f>Q80*R80</f>
        <v>0.54691096664979022</v>
      </c>
    </row>
    <row r="81" spans="1:20" ht="15.75" thickBot="1" x14ac:dyDescent="0.3">
      <c r="A81" s="87"/>
      <c r="B81" s="57"/>
      <c r="C81" s="207"/>
      <c r="D81" s="207"/>
      <c r="E81" s="207"/>
      <c r="F81" s="207"/>
      <c r="G81" s="207"/>
      <c r="H81" s="207"/>
      <c r="I81" s="58"/>
      <c r="J81" s="88"/>
      <c r="K81" s="8"/>
      <c r="L81" s="47"/>
      <c r="M81" s="47"/>
      <c r="N81" s="48"/>
      <c r="O81" s="46"/>
      <c r="P81" s="18"/>
      <c r="Q81" s="47"/>
      <c r="T81" s="8"/>
    </row>
    <row r="82" spans="1:20" ht="15" customHeight="1" x14ac:dyDescent="0.25">
      <c r="A82" s="87"/>
      <c r="B82" s="217" t="s">
        <v>75</v>
      </c>
      <c r="C82" s="218"/>
      <c r="D82" s="218"/>
      <c r="E82" s="218"/>
      <c r="F82" s="218"/>
      <c r="G82" s="218"/>
      <c r="H82" s="219"/>
      <c r="I82" s="58"/>
      <c r="J82" s="88"/>
      <c r="K82" s="8"/>
      <c r="L82" s="47"/>
      <c r="M82" s="47"/>
      <c r="N82" s="48"/>
      <c r="O82" s="46"/>
      <c r="P82" s="18"/>
      <c r="Q82" s="47"/>
      <c r="T82" s="8"/>
    </row>
    <row r="83" spans="1:20" ht="15" customHeight="1" x14ac:dyDescent="0.25">
      <c r="A83" s="87"/>
      <c r="B83" s="206" t="s">
        <v>76</v>
      </c>
      <c r="C83" s="220" t="s">
        <v>77</v>
      </c>
      <c r="D83" s="220" t="s">
        <v>78</v>
      </c>
      <c r="E83" s="220" t="s">
        <v>79</v>
      </c>
      <c r="F83" s="220" t="s">
        <v>171</v>
      </c>
      <c r="G83" s="220"/>
      <c r="H83" s="208" t="s">
        <v>80</v>
      </c>
      <c r="I83" s="58"/>
      <c r="J83" s="88"/>
      <c r="K83" s="8"/>
      <c r="L83" s="47"/>
      <c r="M83" s="47"/>
      <c r="N83" s="48"/>
      <c r="O83" s="46"/>
      <c r="P83" s="18"/>
      <c r="Q83" s="47"/>
      <c r="T83" s="8"/>
    </row>
    <row r="84" spans="1:20" x14ac:dyDescent="0.25">
      <c r="A84" s="16"/>
      <c r="B84" s="206"/>
      <c r="C84" s="220"/>
      <c r="D84" s="220"/>
      <c r="E84" s="220"/>
      <c r="F84" s="220"/>
      <c r="G84" s="220"/>
      <c r="H84" s="208"/>
      <c r="J84" s="64"/>
      <c r="M84" s="5"/>
    </row>
    <row r="85" spans="1:20" x14ac:dyDescent="0.25">
      <c r="A85" s="16"/>
      <c r="B85" s="156" t="s">
        <v>73</v>
      </c>
      <c r="C85" s="157">
        <v>0.03</v>
      </c>
      <c r="D85" s="158">
        <f>AVERAGE(C79:H79)</f>
        <v>6.7333333333333334</v>
      </c>
      <c r="E85" s="159">
        <f>(D85)-(D85*0.03)</f>
        <v>6.5313333333333334</v>
      </c>
      <c r="F85" s="171">
        <f>(D85)+(D85*0.03)</f>
        <v>6.9353333333333333</v>
      </c>
      <c r="G85" s="171"/>
      <c r="H85" s="160" t="str">
        <f>IF((AND(D85&lt;F85,D85&gt;E85) )," Pass","Fail")</f>
        <v xml:space="preserve"> Pass</v>
      </c>
      <c r="J85" s="64"/>
      <c r="L85" s="172"/>
      <c r="M85" s="172"/>
      <c r="N85" s="172"/>
      <c r="O85" s="172"/>
      <c r="P85" s="169"/>
      <c r="Q85" s="170"/>
      <c r="R85" s="172"/>
      <c r="S85" s="172"/>
    </row>
    <row r="86" spans="1:20" ht="15.75" thickBot="1" x14ac:dyDescent="0.3">
      <c r="A86" s="16"/>
      <c r="B86" s="61" t="s">
        <v>74</v>
      </c>
      <c r="C86" s="62">
        <v>0.03</v>
      </c>
      <c r="D86" s="95">
        <f>AVERAGE(C80:H80)</f>
        <v>6.333333333333333</v>
      </c>
      <c r="E86" s="154">
        <f>(D86)-(D86*0.03)</f>
        <v>6.1433333333333326</v>
      </c>
      <c r="F86" s="173">
        <f>(D86)+(D86*0.03)</f>
        <v>6.5233333333333334</v>
      </c>
      <c r="G86" s="173"/>
      <c r="H86" s="63" t="str">
        <f>IF((AND(D86&lt;F86,D86&gt;E86) )," Pass","Fail")</f>
        <v xml:space="preserve"> Pass</v>
      </c>
      <c r="J86" s="64"/>
      <c r="L86" s="172"/>
      <c r="M86" s="172"/>
      <c r="N86" s="172"/>
      <c r="O86" s="172"/>
      <c r="P86" s="169"/>
      <c r="Q86" s="170"/>
      <c r="R86" s="172"/>
      <c r="S86" s="172"/>
    </row>
    <row r="87" spans="1:20" x14ac:dyDescent="0.25">
      <c r="A87" s="16"/>
      <c r="J87" s="64"/>
      <c r="L87" s="98"/>
      <c r="M87" s="99"/>
      <c r="N87" s="99"/>
      <c r="O87" s="100"/>
      <c r="P87" s="33"/>
      <c r="Q87" s="99"/>
      <c r="R87" s="97"/>
      <c r="S87" s="33"/>
    </row>
    <row r="88" spans="1:20" x14ac:dyDescent="0.25">
      <c r="A88" s="16"/>
      <c r="B88" s="8"/>
      <c r="E88" s="9"/>
      <c r="F88" s="97"/>
      <c r="G88" s="18"/>
      <c r="J88" s="64"/>
      <c r="L88" s="98"/>
      <c r="M88" s="99"/>
      <c r="N88" s="99"/>
      <c r="O88" s="100"/>
      <c r="P88" s="33"/>
      <c r="Q88" s="99"/>
      <c r="R88" s="97"/>
      <c r="S88" s="33"/>
    </row>
    <row r="89" spans="1:20" x14ac:dyDescent="0.25">
      <c r="A89" s="16"/>
      <c r="B89" s="8"/>
      <c r="E89" s="9"/>
      <c r="F89" s="97"/>
      <c r="G89" s="18"/>
      <c r="J89" s="64"/>
      <c r="L89" s="98"/>
      <c r="M89" s="99"/>
      <c r="N89" s="99"/>
      <c r="O89" s="100"/>
      <c r="P89" s="33"/>
      <c r="Q89" s="99"/>
      <c r="R89" s="97"/>
      <c r="S89" s="33"/>
    </row>
    <row r="90" spans="1:20" x14ac:dyDescent="0.25">
      <c r="A90" s="16"/>
      <c r="B90" s="8"/>
      <c r="E90" s="9"/>
      <c r="F90" s="97"/>
      <c r="G90" s="18"/>
      <c r="J90" s="64"/>
      <c r="L90" s="98"/>
      <c r="M90" s="99"/>
      <c r="N90" s="99"/>
      <c r="O90" s="100"/>
      <c r="P90" s="33"/>
      <c r="Q90" s="99"/>
      <c r="R90" s="97"/>
      <c r="S90" s="33"/>
    </row>
    <row r="91" spans="1:20" x14ac:dyDescent="0.25">
      <c r="A91" s="16"/>
      <c r="E91" s="4"/>
      <c r="J91" s="64"/>
      <c r="L91" s="98"/>
      <c r="M91" s="99"/>
      <c r="N91" s="99"/>
      <c r="O91" s="100"/>
      <c r="P91" s="33"/>
      <c r="Q91" s="99"/>
      <c r="R91" s="97"/>
      <c r="S91" s="33"/>
    </row>
    <row r="92" spans="1:20" x14ac:dyDescent="0.25">
      <c r="A92" s="16"/>
      <c r="E92" s="4"/>
      <c r="J92" s="64"/>
      <c r="L92" s="98"/>
      <c r="M92" s="99"/>
      <c r="N92" s="99"/>
      <c r="O92" s="100"/>
      <c r="P92" s="33"/>
      <c r="Q92" s="99"/>
      <c r="R92" s="97"/>
      <c r="S92" s="33"/>
    </row>
    <row r="93" spans="1:20" x14ac:dyDescent="0.25">
      <c r="A93" s="16"/>
      <c r="E93" s="4"/>
      <c r="J93" s="64"/>
      <c r="L93" s="98"/>
      <c r="M93" s="99"/>
      <c r="N93" s="99"/>
      <c r="O93" s="100"/>
      <c r="P93" s="33"/>
      <c r="Q93" s="99"/>
      <c r="R93" s="97"/>
      <c r="S93" s="33"/>
    </row>
    <row r="94" spans="1:20" x14ac:dyDescent="0.25">
      <c r="A94" s="16"/>
      <c r="J94" s="64"/>
      <c r="K94" s="6"/>
      <c r="L94" s="98"/>
      <c r="M94" s="99"/>
      <c r="N94" s="99"/>
      <c r="O94" s="100"/>
      <c r="P94" s="33"/>
      <c r="Q94" s="99"/>
      <c r="R94" s="97"/>
      <c r="S94" s="33"/>
    </row>
    <row r="95" spans="1:20" x14ac:dyDescent="0.25">
      <c r="A95" s="16"/>
      <c r="J95" s="64"/>
      <c r="K95" s="6"/>
      <c r="L95" s="98"/>
      <c r="M95" s="99"/>
      <c r="N95" s="99"/>
      <c r="O95" s="100"/>
      <c r="P95" s="33"/>
      <c r="Q95" s="99"/>
      <c r="R95" s="97"/>
      <c r="S95" s="33"/>
    </row>
    <row r="96" spans="1:20" x14ac:dyDescent="0.25">
      <c r="A96" s="16"/>
      <c r="J96" s="64"/>
      <c r="K96" s="6"/>
      <c r="L96" s="6"/>
      <c r="M96" s="6"/>
      <c r="N96" s="6"/>
      <c r="O96" s="6"/>
      <c r="P96" s="6"/>
    </row>
    <row r="97" spans="1:29" x14ac:dyDescent="0.25">
      <c r="A97" s="16"/>
      <c r="J97" s="64"/>
      <c r="K97" s="6"/>
      <c r="L97" s="6"/>
      <c r="M97" s="6"/>
      <c r="N97" s="6"/>
      <c r="O97" s="6"/>
      <c r="P97" s="6"/>
    </row>
    <row r="98" spans="1:29" x14ac:dyDescent="0.25">
      <c r="A98" s="16"/>
      <c r="J98" s="64"/>
      <c r="K98" s="6"/>
      <c r="L98" s="6"/>
      <c r="M98" s="6"/>
      <c r="N98" s="6"/>
      <c r="O98" s="6"/>
      <c r="P98" s="6"/>
    </row>
    <row r="99" spans="1:29" x14ac:dyDescent="0.25">
      <c r="A99" s="16"/>
      <c r="J99" s="64"/>
    </row>
    <row r="100" spans="1:29" x14ac:dyDescent="0.25">
      <c r="A100" s="16"/>
      <c r="J100" s="64"/>
      <c r="K100" s="11"/>
      <c r="L100" s="11"/>
      <c r="M100" s="11"/>
      <c r="N100" s="11"/>
      <c r="O100" s="11"/>
      <c r="P100" s="11"/>
      <c r="Q100" s="11"/>
    </row>
    <row r="101" spans="1:29" ht="15" customHeight="1" x14ac:dyDescent="0.25">
      <c r="A101" s="16"/>
      <c r="J101" s="64"/>
      <c r="K101" s="11"/>
      <c r="L101" s="11"/>
      <c r="M101" s="11"/>
      <c r="N101" s="11"/>
      <c r="O101" s="11"/>
      <c r="P101" s="11"/>
      <c r="Q101" s="11"/>
    </row>
    <row r="102" spans="1:29" s="11" customFormat="1" x14ac:dyDescent="0.25">
      <c r="A102" s="16"/>
      <c r="B102"/>
      <c r="C102"/>
      <c r="D102"/>
      <c r="E102"/>
      <c r="F102"/>
      <c r="G102"/>
      <c r="H102"/>
      <c r="I102"/>
      <c r="J102" s="89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s="11" customFormat="1" x14ac:dyDescent="0.25">
      <c r="A103" s="50"/>
      <c r="B103" s="2" t="s">
        <v>64</v>
      </c>
      <c r="C103" s="2"/>
      <c r="D103" s="2"/>
      <c r="E103" s="2"/>
      <c r="F103" s="2"/>
      <c r="G103" s="2"/>
      <c r="H103" s="2"/>
      <c r="I103" s="2"/>
      <c r="J103" s="90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s="11" customFormat="1" x14ac:dyDescent="0.25">
      <c r="A104" s="16"/>
      <c r="B104" s="167" t="s">
        <v>54</v>
      </c>
      <c r="C104" s="167"/>
      <c r="D104" s="167"/>
      <c r="E104" s="167"/>
      <c r="F104" s="167"/>
      <c r="G104" s="167"/>
      <c r="H104" s="167"/>
      <c r="I104" s="167"/>
      <c r="J104" s="168"/>
      <c r="P104" s="164"/>
      <c r="Q104" s="16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s="11" customFormat="1" x14ac:dyDescent="0.25">
      <c r="A105" s="16"/>
      <c r="B105" s="167" t="s">
        <v>112</v>
      </c>
      <c r="C105" s="167"/>
      <c r="D105" s="167"/>
      <c r="E105" s="167"/>
      <c r="F105" s="167"/>
      <c r="G105" s="167"/>
      <c r="H105" s="167"/>
      <c r="I105" s="167"/>
      <c r="J105" s="168"/>
      <c r="P105" s="20"/>
      <c r="Q105" s="20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s="11" customFormat="1" x14ac:dyDescent="0.25">
      <c r="A106" s="22"/>
      <c r="B106" s="167" t="s">
        <v>113</v>
      </c>
      <c r="C106" s="167"/>
      <c r="D106" s="167"/>
      <c r="E106" s="167"/>
      <c r="F106" s="167"/>
      <c r="G106" s="167"/>
      <c r="H106" s="167"/>
      <c r="I106" s="167"/>
      <c r="J106" s="168"/>
      <c r="P106" s="25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s="11" customFormat="1" x14ac:dyDescent="0.25">
      <c r="A107" s="22"/>
      <c r="B107" s="167" t="s">
        <v>107</v>
      </c>
      <c r="C107" s="167"/>
      <c r="D107" s="167"/>
      <c r="E107" s="167"/>
      <c r="F107" s="167"/>
      <c r="G107" s="167"/>
      <c r="H107" s="167"/>
      <c r="I107" s="105"/>
      <c r="J107" s="140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s="11" customFormat="1" x14ac:dyDescent="0.25">
      <c r="A108" s="22"/>
      <c r="B108" s="167" t="s">
        <v>40</v>
      </c>
      <c r="C108" s="167"/>
      <c r="D108" s="167"/>
      <c r="E108" s="167"/>
      <c r="F108" s="167"/>
      <c r="G108" s="167"/>
      <c r="H108" s="167"/>
      <c r="I108" s="167"/>
      <c r="J108" s="16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s="11" customFormat="1" x14ac:dyDescent="0.25">
      <c r="A109" s="22"/>
      <c r="B109" s="167" t="s">
        <v>53</v>
      </c>
      <c r="C109" s="167"/>
      <c r="D109" s="167"/>
      <c r="E109" s="167"/>
      <c r="F109" s="167"/>
      <c r="G109" s="167"/>
      <c r="H109" s="167"/>
      <c r="I109" s="167"/>
      <c r="J109" s="168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s="11" customFormat="1" x14ac:dyDescent="0.25">
      <c r="A110" s="22"/>
      <c r="B110" s="167" t="s">
        <v>60</v>
      </c>
      <c r="C110" s="167"/>
      <c r="D110" s="167"/>
      <c r="E110" s="167"/>
      <c r="F110" s="167"/>
      <c r="G110" s="167"/>
      <c r="H110" s="167"/>
      <c r="I110" s="167"/>
      <c r="J110" s="168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s="11" customFormat="1" x14ac:dyDescent="0.25">
      <c r="A111" s="22"/>
      <c r="B111" s="167" t="s">
        <v>83</v>
      </c>
      <c r="C111" s="167"/>
      <c r="D111" s="167"/>
      <c r="E111" s="167"/>
      <c r="F111" s="167"/>
      <c r="G111" s="167"/>
      <c r="H111" s="167"/>
      <c r="I111" s="167"/>
      <c r="J111" s="168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1:29" s="11" customFormat="1" ht="15.75" customHeight="1" thickBot="1" x14ac:dyDescent="0.3">
      <c r="A112" s="22"/>
      <c r="B112" s="238" t="s">
        <v>188</v>
      </c>
      <c r="C112" s="238"/>
      <c r="D112" s="238"/>
      <c r="E112" s="238"/>
      <c r="F112" s="238"/>
      <c r="G112" s="238"/>
      <c r="H112" s="238"/>
      <c r="I112" s="238"/>
      <c r="J112" s="239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1:29" s="11" customFormat="1" ht="15.75" customHeight="1" thickTop="1" x14ac:dyDescent="0.25">
      <c r="A113" s="22"/>
      <c r="B113" s="165" t="s">
        <v>41</v>
      </c>
      <c r="C113" s="165"/>
      <c r="D113" s="165"/>
      <c r="E113" s="165"/>
      <c r="F113" s="165"/>
      <c r="G113" s="165"/>
      <c r="H113" s="165"/>
      <c r="I113" s="165"/>
      <c r="J113" s="166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1:29" s="11" customFormat="1" x14ac:dyDescent="0.25">
      <c r="A114" s="22"/>
      <c r="B114" s="167" t="s">
        <v>42</v>
      </c>
      <c r="C114" s="167"/>
      <c r="D114" s="167"/>
      <c r="E114" s="167"/>
      <c r="F114" s="167"/>
      <c r="G114" s="167"/>
      <c r="H114" s="167"/>
      <c r="I114" s="167"/>
      <c r="J114" s="168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1:29" s="11" customFormat="1" x14ac:dyDescent="0.25">
      <c r="A115" s="22"/>
      <c r="B115" s="243" t="s">
        <v>85</v>
      </c>
      <c r="C115" s="167"/>
      <c r="D115" s="167"/>
      <c r="E115" s="167"/>
      <c r="F115" s="167"/>
      <c r="G115" s="167"/>
      <c r="H115" s="167"/>
      <c r="I115" s="167"/>
      <c r="J115" s="168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1:29" s="11" customFormat="1" x14ac:dyDescent="0.25">
      <c r="A116" s="22"/>
      <c r="B116" s="167" t="s">
        <v>106</v>
      </c>
      <c r="C116" s="167"/>
      <c r="D116" s="167"/>
      <c r="E116" s="167"/>
      <c r="F116" s="167"/>
      <c r="G116" s="167"/>
      <c r="H116" s="167"/>
      <c r="I116" s="167"/>
      <c r="J116" s="168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1:29" s="11" customFormat="1" x14ac:dyDescent="0.25">
      <c r="A117" s="22"/>
      <c r="B117" s="167" t="s">
        <v>45</v>
      </c>
      <c r="C117" s="167"/>
      <c r="D117" s="167"/>
      <c r="E117" s="167"/>
      <c r="F117" s="167"/>
      <c r="G117" s="167"/>
      <c r="H117" s="167"/>
      <c r="I117" s="167"/>
      <c r="J117" s="168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1:29" x14ac:dyDescent="0.25">
      <c r="A118" s="22"/>
      <c r="B118" s="240" t="s">
        <v>55</v>
      </c>
      <c r="C118" s="241"/>
      <c r="D118" s="241"/>
      <c r="E118" s="241"/>
      <c r="F118" s="241"/>
      <c r="G118" s="241"/>
      <c r="H118" s="241"/>
      <c r="I118" s="241"/>
      <c r="J118" s="242"/>
    </row>
    <row r="119" spans="1:29" x14ac:dyDescent="0.25">
      <c r="A119" s="22"/>
      <c r="B119" s="243" t="s">
        <v>105</v>
      </c>
      <c r="C119" s="167"/>
      <c r="D119" s="167"/>
      <c r="E119" s="167"/>
      <c r="F119" s="167"/>
      <c r="G119" s="167"/>
      <c r="H119" s="167"/>
      <c r="I119" s="167"/>
      <c r="J119" s="168"/>
    </row>
    <row r="120" spans="1:29" x14ac:dyDescent="0.25">
      <c r="A120" s="22"/>
      <c r="B120" s="167" t="s">
        <v>84</v>
      </c>
      <c r="C120" s="167"/>
      <c r="D120" s="167"/>
      <c r="E120" s="167"/>
      <c r="F120" s="167"/>
      <c r="G120" s="167"/>
      <c r="H120" s="167"/>
      <c r="I120" s="167"/>
      <c r="J120" s="168"/>
    </row>
    <row r="121" spans="1:29" x14ac:dyDescent="0.25">
      <c r="A121" s="22"/>
      <c r="B121" s="167" t="s">
        <v>189</v>
      </c>
      <c r="C121" s="167"/>
      <c r="D121" s="167"/>
      <c r="E121" s="167"/>
      <c r="F121" s="167"/>
      <c r="G121" s="167"/>
      <c r="H121" s="167"/>
      <c r="I121" s="167"/>
      <c r="J121" s="168"/>
    </row>
    <row r="122" spans="1:29" x14ac:dyDescent="0.25">
      <c r="A122" s="22"/>
      <c r="B122" s="71"/>
      <c r="C122" s="71"/>
      <c r="D122" s="49"/>
      <c r="E122" s="11"/>
      <c r="F122" s="11"/>
      <c r="G122" s="11"/>
      <c r="H122" s="11"/>
      <c r="J122" s="64"/>
    </row>
    <row r="123" spans="1:29" ht="15.75" x14ac:dyDescent="0.25">
      <c r="A123" s="22"/>
      <c r="B123" s="72"/>
      <c r="C123" s="235" t="s">
        <v>67</v>
      </c>
      <c r="D123" s="235"/>
      <c r="E123" s="235"/>
      <c r="F123" s="235"/>
      <c r="G123" s="235"/>
      <c r="H123" s="235"/>
      <c r="J123" s="64"/>
    </row>
    <row r="124" spans="1:29" x14ac:dyDescent="0.25">
      <c r="A124" s="16"/>
      <c r="B124" s="71"/>
      <c r="C124" s="236" t="s">
        <v>68</v>
      </c>
      <c r="D124" s="236"/>
      <c r="E124" s="236"/>
      <c r="F124" s="236"/>
      <c r="G124" s="236"/>
      <c r="H124" s="236"/>
      <c r="J124" s="64"/>
    </row>
    <row r="125" spans="1:29" ht="15.75" thickBot="1" x14ac:dyDescent="0.3">
      <c r="A125" s="19" t="s">
        <v>65</v>
      </c>
      <c r="B125" s="3"/>
      <c r="C125" s="3"/>
      <c r="D125" s="234" t="s">
        <v>104</v>
      </c>
      <c r="E125" s="234"/>
      <c r="F125" s="234"/>
      <c r="G125" s="234"/>
      <c r="H125" s="3"/>
      <c r="I125" s="3"/>
      <c r="J125" s="91" t="s">
        <v>66</v>
      </c>
    </row>
    <row r="126" spans="1:29" ht="15.75" thickTop="1" x14ac:dyDescent="0.25">
      <c r="E126" s="7"/>
      <c r="F126" s="7"/>
      <c r="G126" s="7"/>
    </row>
    <row r="127" spans="1:29" ht="15" customHeight="1" x14ac:dyDescent="0.25">
      <c r="C127" s="184" t="s">
        <v>184</v>
      </c>
      <c r="D127" s="184"/>
      <c r="E127" s="184"/>
      <c r="F127" s="184"/>
      <c r="G127" s="184"/>
      <c r="H127" s="184"/>
      <c r="I127" s="184"/>
      <c r="J127" s="26"/>
    </row>
    <row r="128" spans="1:29" ht="15" customHeight="1" x14ac:dyDescent="0.25">
      <c r="C128" s="185" t="s">
        <v>185</v>
      </c>
      <c r="D128" s="185"/>
      <c r="E128" s="185"/>
      <c r="F128" s="185"/>
      <c r="G128" s="185"/>
      <c r="H128" s="185"/>
      <c r="I128" s="185"/>
      <c r="J128" s="27"/>
    </row>
    <row r="129" spans="3:10" x14ac:dyDescent="0.25">
      <c r="C129" s="186" t="s">
        <v>186</v>
      </c>
      <c r="D129" s="186"/>
      <c r="E129" s="186"/>
      <c r="F129" s="186"/>
      <c r="G129" s="186"/>
      <c r="H129" s="186"/>
      <c r="I129" s="186"/>
      <c r="J129" s="28"/>
    </row>
    <row r="130" spans="3:10" ht="19.5" x14ac:dyDescent="0.25">
      <c r="C130" s="237" t="s">
        <v>86</v>
      </c>
      <c r="D130" s="237"/>
      <c r="E130" s="237"/>
      <c r="F130" s="237"/>
      <c r="G130" s="237"/>
      <c r="H130" s="237"/>
      <c r="I130" s="237"/>
      <c r="J130" s="73"/>
    </row>
    <row r="131" spans="3:10" ht="15" customHeight="1" x14ac:dyDescent="0.25">
      <c r="D131" s="29"/>
      <c r="E131" s="233" t="s">
        <v>58</v>
      </c>
      <c r="F131" s="233"/>
      <c r="G131" s="233"/>
      <c r="H131" s="11"/>
      <c r="I131" s="11"/>
    </row>
    <row r="132" spans="3:10" x14ac:dyDescent="0.25">
      <c r="H132" s="232"/>
      <c r="I132" s="232"/>
      <c r="J132" s="232"/>
    </row>
  </sheetData>
  <mergeCells count="117">
    <mergeCell ref="N13:Q13"/>
    <mergeCell ref="D55:J55"/>
    <mergeCell ref="D56:J56"/>
    <mergeCell ref="I7:J7"/>
    <mergeCell ref="I8:J8"/>
    <mergeCell ref="E35:F35"/>
    <mergeCell ref="D31:E31"/>
    <mergeCell ref="I10:J10"/>
    <mergeCell ref="D29:E29"/>
    <mergeCell ref="A12:J12"/>
    <mergeCell ref="B10:C10"/>
    <mergeCell ref="B120:J120"/>
    <mergeCell ref="B112:J112"/>
    <mergeCell ref="B109:J109"/>
    <mergeCell ref="B110:J110"/>
    <mergeCell ref="B111:J111"/>
    <mergeCell ref="B117:J117"/>
    <mergeCell ref="B118:J118"/>
    <mergeCell ref="B119:J119"/>
    <mergeCell ref="B115:J115"/>
    <mergeCell ref="B116:J116"/>
    <mergeCell ref="H132:J132"/>
    <mergeCell ref="E131:G131"/>
    <mergeCell ref="C127:I127"/>
    <mergeCell ref="C128:I128"/>
    <mergeCell ref="C129:I129"/>
    <mergeCell ref="D125:G125"/>
    <mergeCell ref="B121:J121"/>
    <mergeCell ref="C123:H123"/>
    <mergeCell ref="C124:H124"/>
    <mergeCell ref="C130:I130"/>
    <mergeCell ref="O77:O78"/>
    <mergeCell ref="P77:P78"/>
    <mergeCell ref="K77:K78"/>
    <mergeCell ref="M77:M78"/>
    <mergeCell ref="L77:L78"/>
    <mergeCell ref="N77:N78"/>
    <mergeCell ref="J77:J78"/>
    <mergeCell ref="G80:H80"/>
    <mergeCell ref="C79:D79"/>
    <mergeCell ref="E79:F79"/>
    <mergeCell ref="G79:H79"/>
    <mergeCell ref="A77:A78"/>
    <mergeCell ref="E81:F81"/>
    <mergeCell ref="H83:H84"/>
    <mergeCell ref="E18:H18"/>
    <mergeCell ref="I29:J29"/>
    <mergeCell ref="I31:J31"/>
    <mergeCell ref="C70:I71"/>
    <mergeCell ref="E80:F80"/>
    <mergeCell ref="B82:H82"/>
    <mergeCell ref="B83:B84"/>
    <mergeCell ref="C83:C84"/>
    <mergeCell ref="D83:D84"/>
    <mergeCell ref="E83:E84"/>
    <mergeCell ref="F83:G84"/>
    <mergeCell ref="G78:H78"/>
    <mergeCell ref="C77:H77"/>
    <mergeCell ref="C78:D78"/>
    <mergeCell ref="B77:B78"/>
    <mergeCell ref="C80:D80"/>
    <mergeCell ref="D37:E37"/>
    <mergeCell ref="D41:E41"/>
    <mergeCell ref="D45:E45"/>
    <mergeCell ref="C81:D81"/>
    <mergeCell ref="G81:H81"/>
    <mergeCell ref="C2:I2"/>
    <mergeCell ref="C3:I3"/>
    <mergeCell ref="C4:I4"/>
    <mergeCell ref="C6:I6"/>
    <mergeCell ref="I77:I78"/>
    <mergeCell ref="E72:F72"/>
    <mergeCell ref="G61:J61"/>
    <mergeCell ref="H51:I51"/>
    <mergeCell ref="E48:H48"/>
    <mergeCell ref="E49:F49"/>
    <mergeCell ref="D51:E51"/>
    <mergeCell ref="D52:E52"/>
    <mergeCell ref="B64:E64"/>
    <mergeCell ref="G54:H54"/>
    <mergeCell ref="G64:J64"/>
    <mergeCell ref="H52:I52"/>
    <mergeCell ref="C68:I68"/>
    <mergeCell ref="E78:F78"/>
    <mergeCell ref="C69:I69"/>
    <mergeCell ref="I73:J73"/>
    <mergeCell ref="C67:I67"/>
    <mergeCell ref="B61:E61"/>
    <mergeCell ref="E34:H34"/>
    <mergeCell ref="R85:R86"/>
    <mergeCell ref="R33:U33"/>
    <mergeCell ref="R34:S34"/>
    <mergeCell ref="P36:R36"/>
    <mergeCell ref="Q38:R38"/>
    <mergeCell ref="Q40:R40"/>
    <mergeCell ref="Q44:R44"/>
    <mergeCell ref="Q45:R45"/>
    <mergeCell ref="S85:S86"/>
    <mergeCell ref="S77:S78"/>
    <mergeCell ref="Q77:Q78"/>
    <mergeCell ref="R77:R78"/>
    <mergeCell ref="P104:Q104"/>
    <mergeCell ref="B113:J113"/>
    <mergeCell ref="B114:J114"/>
    <mergeCell ref="B104:J104"/>
    <mergeCell ref="B105:J105"/>
    <mergeCell ref="B106:J106"/>
    <mergeCell ref="B107:H107"/>
    <mergeCell ref="P85:P86"/>
    <mergeCell ref="Q85:Q86"/>
    <mergeCell ref="F85:G85"/>
    <mergeCell ref="L85:L86"/>
    <mergeCell ref="M85:M86"/>
    <mergeCell ref="N85:N86"/>
    <mergeCell ref="O85:O86"/>
    <mergeCell ref="F86:G86"/>
    <mergeCell ref="B108:J108"/>
  </mergeCells>
  <conditionalFormatting sqref="I43">
    <cfRule type="expression" dxfId="1" priority="1">
      <formula>$I$43&lt;$J$29</formula>
    </cfRule>
  </conditionalFormatting>
  <conditionalFormatting sqref="V42">
    <cfRule type="expression" dxfId="0" priority="4">
      <formula>$I$43&lt;$J$29</formula>
    </cfRule>
  </conditionalFormatting>
  <printOptions horizontalCentered="1"/>
  <pageMargins left="0.19685039370078741" right="0.19685039370078741" top="0.19685039370078741" bottom="0.19685039370078741" header="0.31496062992125984" footer="0.31496062992125984"/>
  <pageSetup scale="79" orientation="portrait" r:id="rId1"/>
  <rowBreaks count="2" manualBreakCount="2">
    <brk id="65" max="10" man="1"/>
    <brk id="125" max="1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0000000}">
          <x14:formula1>
            <xm:f>'Registro de clientes'!$B$18:$B$21</xm:f>
          </x14:formula1>
          <xm:sqref>D56:J56</xm:sqref>
        </x14:dataValidation>
        <x14:dataValidation type="list" allowBlank="1" showInputMessage="1" showErrorMessage="1" xr:uid="{00000000-0002-0000-0000-000001000000}">
          <x14:formula1>
            <xm:f>'Registro de clientes'!$B$1:$B$14</xm:f>
          </x14:formula1>
          <xm:sqref>D55:J55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D64"/>
  <sheetViews>
    <sheetView workbookViewId="0">
      <selection activeCell="B8" sqref="B8"/>
    </sheetView>
  </sheetViews>
  <sheetFormatPr baseColWidth="10" defaultRowHeight="15" x14ac:dyDescent="0.25"/>
  <cols>
    <col min="1" max="1" width="3" style="33" customWidth="1"/>
    <col min="2" max="2" width="75.85546875" customWidth="1"/>
    <col min="3" max="3" width="41.42578125" customWidth="1"/>
    <col min="4" max="4" width="68.42578125" bestFit="1" customWidth="1"/>
  </cols>
  <sheetData>
    <row r="1" spans="2:2" x14ac:dyDescent="0.25">
      <c r="B1" t="s">
        <v>119</v>
      </c>
    </row>
    <row r="2" spans="2:2" x14ac:dyDescent="0.25">
      <c r="B2" t="s">
        <v>120</v>
      </c>
    </row>
    <row r="3" spans="2:2" x14ac:dyDescent="0.25">
      <c r="B3" t="s">
        <v>167</v>
      </c>
    </row>
    <row r="4" spans="2:2" x14ac:dyDescent="0.25">
      <c r="B4" t="s">
        <v>166</v>
      </c>
    </row>
    <row r="5" spans="2:2" x14ac:dyDescent="0.25">
      <c r="B5" t="s">
        <v>168</v>
      </c>
    </row>
    <row r="6" spans="2:2" x14ac:dyDescent="0.25">
      <c r="B6" t="s">
        <v>169</v>
      </c>
    </row>
    <row r="7" spans="2:2" x14ac:dyDescent="0.25">
      <c r="B7" t="s">
        <v>164</v>
      </c>
    </row>
    <row r="8" spans="2:2" x14ac:dyDescent="0.25">
      <c r="B8" t="s">
        <v>169</v>
      </c>
    </row>
    <row r="9" spans="2:2" x14ac:dyDescent="0.25">
      <c r="B9" t="s">
        <v>169</v>
      </c>
    </row>
    <row r="10" spans="2:2" x14ac:dyDescent="0.25">
      <c r="B10" t="s">
        <v>169</v>
      </c>
    </row>
    <row r="11" spans="2:2" x14ac:dyDescent="0.25">
      <c r="B11" t="s">
        <v>169</v>
      </c>
    </row>
    <row r="12" spans="2:2" x14ac:dyDescent="0.25">
      <c r="B12" t="s">
        <v>165</v>
      </c>
    </row>
    <row r="13" spans="2:2" x14ac:dyDescent="0.25">
      <c r="B13" t="s">
        <v>121</v>
      </c>
    </row>
    <row r="14" spans="2:2" x14ac:dyDescent="0.25">
      <c r="B14" t="s">
        <v>165</v>
      </c>
    </row>
    <row r="18" spans="1:4" x14ac:dyDescent="0.25">
      <c r="B18" t="s">
        <v>122</v>
      </c>
    </row>
    <row r="19" spans="1:4" x14ac:dyDescent="0.25">
      <c r="B19" t="s">
        <v>123</v>
      </c>
    </row>
    <row r="20" spans="1:4" x14ac:dyDescent="0.25">
      <c r="B20" t="s">
        <v>124</v>
      </c>
    </row>
    <row r="27" spans="1:4" x14ac:dyDescent="0.25">
      <c r="A27" s="119"/>
      <c r="B27" s="120" t="s">
        <v>125</v>
      </c>
      <c r="C27" s="120" t="s">
        <v>126</v>
      </c>
      <c r="D27" s="120" t="s">
        <v>127</v>
      </c>
    </row>
    <row r="28" spans="1:4" x14ac:dyDescent="0.25">
      <c r="A28" s="121">
        <v>1</v>
      </c>
      <c r="B28" s="122" t="s">
        <v>128</v>
      </c>
      <c r="C28" s="122" t="s">
        <v>129</v>
      </c>
      <c r="D28" s="122" t="s">
        <v>130</v>
      </c>
    </row>
    <row r="29" spans="1:4" x14ac:dyDescent="0.25">
      <c r="A29" s="121">
        <v>2</v>
      </c>
      <c r="B29" s="122" t="s">
        <v>128</v>
      </c>
      <c r="C29" s="122" t="s">
        <v>131</v>
      </c>
      <c r="D29" s="122" t="s">
        <v>130</v>
      </c>
    </row>
    <row r="30" spans="1:4" x14ac:dyDescent="0.25">
      <c r="A30" s="121">
        <v>3</v>
      </c>
      <c r="B30" s="122" t="s">
        <v>128</v>
      </c>
      <c r="C30" s="122" t="s">
        <v>132</v>
      </c>
      <c r="D30" s="122" t="s">
        <v>133</v>
      </c>
    </row>
    <row r="31" spans="1:4" x14ac:dyDescent="0.25">
      <c r="A31" s="121">
        <v>4</v>
      </c>
      <c r="B31" s="122" t="s">
        <v>128</v>
      </c>
      <c r="C31" s="122" t="s">
        <v>134</v>
      </c>
      <c r="D31" s="122" t="s">
        <v>133</v>
      </c>
    </row>
    <row r="32" spans="1:4" x14ac:dyDescent="0.25">
      <c r="A32" s="121">
        <v>5</v>
      </c>
      <c r="B32" s="122" t="s">
        <v>135</v>
      </c>
      <c r="C32" s="122"/>
      <c r="D32" s="122" t="s">
        <v>136</v>
      </c>
    </row>
    <row r="33" spans="1:4" x14ac:dyDescent="0.25">
      <c r="A33" s="121">
        <v>6</v>
      </c>
      <c r="B33" s="122" t="s">
        <v>137</v>
      </c>
      <c r="C33" s="122" t="s">
        <v>138</v>
      </c>
      <c r="D33" s="122" t="s">
        <v>139</v>
      </c>
    </row>
    <row r="34" spans="1:4" x14ac:dyDescent="0.25">
      <c r="A34" s="121">
        <v>7</v>
      </c>
      <c r="B34" s="122" t="s">
        <v>140</v>
      </c>
      <c r="C34" s="122"/>
      <c r="D34" s="122" t="s">
        <v>141</v>
      </c>
    </row>
    <row r="35" spans="1:4" x14ac:dyDescent="0.25">
      <c r="A35" s="121">
        <v>8</v>
      </c>
      <c r="B35" s="122" t="s">
        <v>142</v>
      </c>
      <c r="C35" s="122" t="s">
        <v>143</v>
      </c>
      <c r="D35" s="122" t="s">
        <v>144</v>
      </c>
    </row>
    <row r="36" spans="1:4" x14ac:dyDescent="0.25">
      <c r="A36" s="121">
        <v>9</v>
      </c>
      <c r="B36" s="122"/>
      <c r="C36" s="122"/>
      <c r="D36" s="122"/>
    </row>
    <row r="37" spans="1:4" x14ac:dyDescent="0.25">
      <c r="A37" s="121">
        <v>10</v>
      </c>
      <c r="B37" s="122"/>
      <c r="C37" s="122"/>
      <c r="D37" s="122"/>
    </row>
    <row r="38" spans="1:4" x14ac:dyDescent="0.25">
      <c r="A38" s="121">
        <v>11</v>
      </c>
      <c r="B38" s="122"/>
      <c r="C38" s="122"/>
      <c r="D38" s="122"/>
    </row>
    <row r="39" spans="1:4" x14ac:dyDescent="0.25">
      <c r="A39" s="121">
        <v>12</v>
      </c>
      <c r="B39" s="122"/>
      <c r="C39" s="122"/>
      <c r="D39" s="122"/>
    </row>
    <row r="40" spans="1:4" x14ac:dyDescent="0.25">
      <c r="A40" s="121">
        <v>13</v>
      </c>
      <c r="B40" s="122" t="s">
        <v>145</v>
      </c>
      <c r="C40" s="122" t="s">
        <v>146</v>
      </c>
      <c r="D40" s="122" t="s">
        <v>147</v>
      </c>
    </row>
    <row r="41" spans="1:4" x14ac:dyDescent="0.25">
      <c r="A41" s="121">
        <v>14</v>
      </c>
      <c r="B41" s="122"/>
      <c r="C41" s="122"/>
      <c r="D41" s="122"/>
    </row>
    <row r="42" spans="1:4" x14ac:dyDescent="0.25">
      <c r="A42" s="121">
        <v>15</v>
      </c>
      <c r="B42" s="122"/>
      <c r="C42" s="122"/>
      <c r="D42" s="122"/>
    </row>
    <row r="43" spans="1:4" x14ac:dyDescent="0.25">
      <c r="A43" s="121">
        <v>16</v>
      </c>
      <c r="B43" s="122"/>
      <c r="C43" s="122"/>
      <c r="D43" s="122"/>
    </row>
    <row r="44" spans="1:4" x14ac:dyDescent="0.25">
      <c r="A44" s="121">
        <v>17</v>
      </c>
      <c r="B44" s="122"/>
      <c r="C44" s="122"/>
      <c r="D44" s="122"/>
    </row>
    <row r="45" spans="1:4" x14ac:dyDescent="0.25">
      <c r="A45" s="121">
        <v>18</v>
      </c>
      <c r="B45" s="122"/>
      <c r="C45" s="122"/>
      <c r="D45" s="122"/>
    </row>
    <row r="46" spans="1:4" x14ac:dyDescent="0.25">
      <c r="A46" s="121">
        <v>19</v>
      </c>
      <c r="B46" s="122"/>
      <c r="C46" s="122"/>
      <c r="D46" s="122"/>
    </row>
    <row r="47" spans="1:4" x14ac:dyDescent="0.25">
      <c r="A47" s="121">
        <v>20</v>
      </c>
      <c r="B47" s="122"/>
      <c r="C47" s="122"/>
      <c r="D47" s="122"/>
    </row>
    <row r="48" spans="1:4" x14ac:dyDescent="0.25">
      <c r="A48" s="121">
        <v>21</v>
      </c>
      <c r="B48" s="122"/>
      <c r="C48" s="122"/>
      <c r="D48" s="122"/>
    </row>
    <row r="49" spans="1:4" x14ac:dyDescent="0.25">
      <c r="A49" s="121">
        <v>22</v>
      </c>
      <c r="B49" s="122"/>
      <c r="C49" s="122"/>
      <c r="D49" s="122"/>
    </row>
    <row r="50" spans="1:4" x14ac:dyDescent="0.25">
      <c r="A50" s="121">
        <v>23</v>
      </c>
      <c r="B50" s="122"/>
      <c r="C50" s="122"/>
      <c r="D50" s="122"/>
    </row>
    <row r="51" spans="1:4" x14ac:dyDescent="0.25">
      <c r="A51" s="121">
        <v>24</v>
      </c>
      <c r="B51" s="122"/>
      <c r="C51" s="122"/>
      <c r="D51" s="122"/>
    </row>
    <row r="52" spans="1:4" x14ac:dyDescent="0.25">
      <c r="A52" s="121">
        <v>25</v>
      </c>
      <c r="B52" s="122"/>
      <c r="C52" s="122"/>
      <c r="D52" s="122"/>
    </row>
    <row r="53" spans="1:4" x14ac:dyDescent="0.25">
      <c r="A53" s="121">
        <v>26</v>
      </c>
      <c r="B53" s="122"/>
      <c r="C53" s="122"/>
      <c r="D53" s="122"/>
    </row>
    <row r="54" spans="1:4" x14ac:dyDescent="0.25">
      <c r="A54" s="121">
        <v>27</v>
      </c>
      <c r="B54" s="122"/>
      <c r="C54" s="122"/>
      <c r="D54" s="122"/>
    </row>
    <row r="55" spans="1:4" x14ac:dyDescent="0.25">
      <c r="A55" s="121">
        <v>28</v>
      </c>
      <c r="B55" s="122"/>
      <c r="C55" s="122"/>
      <c r="D55" s="122"/>
    </row>
    <row r="56" spans="1:4" x14ac:dyDescent="0.25">
      <c r="A56" s="121">
        <v>29</v>
      </c>
      <c r="B56" s="122"/>
      <c r="C56" s="122"/>
      <c r="D56" s="122"/>
    </row>
    <row r="57" spans="1:4" x14ac:dyDescent="0.25">
      <c r="A57" s="121">
        <v>30</v>
      </c>
      <c r="B57" s="122"/>
      <c r="C57" s="122"/>
      <c r="D57" s="122"/>
    </row>
    <row r="58" spans="1:4" x14ac:dyDescent="0.25">
      <c r="A58" s="121">
        <v>31</v>
      </c>
      <c r="B58" s="122"/>
      <c r="C58" s="122"/>
      <c r="D58" s="122"/>
    </row>
    <row r="59" spans="1:4" x14ac:dyDescent="0.25">
      <c r="A59" s="121"/>
      <c r="B59" s="122"/>
      <c r="C59" s="122"/>
      <c r="D59" s="122"/>
    </row>
    <row r="60" spans="1:4" x14ac:dyDescent="0.25">
      <c r="A60" s="121"/>
      <c r="B60" s="122"/>
      <c r="C60" s="122"/>
      <c r="D60" s="122"/>
    </row>
    <row r="61" spans="1:4" x14ac:dyDescent="0.25">
      <c r="A61" s="121"/>
      <c r="B61" s="122"/>
      <c r="C61" s="122"/>
      <c r="D61" s="122"/>
    </row>
    <row r="62" spans="1:4" x14ac:dyDescent="0.25">
      <c r="A62" s="121"/>
      <c r="B62" s="122"/>
      <c r="C62" s="122"/>
      <c r="D62" s="122"/>
    </row>
    <row r="63" spans="1:4" x14ac:dyDescent="0.25">
      <c r="A63" s="121"/>
      <c r="B63" s="122"/>
      <c r="C63" s="122"/>
      <c r="D63" s="122"/>
    </row>
    <row r="64" spans="1:4" x14ac:dyDescent="0.25">
      <c r="A64" s="121"/>
      <c r="B64" s="122"/>
      <c r="C64" s="122"/>
      <c r="D64" s="1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Valvula de seguridad</vt:lpstr>
      <vt:lpstr>Registro de clientes</vt:lpstr>
      <vt:lpstr>'Valvula de seguridad'!Área_de_impresión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Monserrat Cortes</cp:lastModifiedBy>
  <cp:lastPrinted>2026-07-21T23:12:47Z</cp:lastPrinted>
  <dcterms:created xsi:type="dcterms:W3CDTF">2017-12-19T21:50:44Z</dcterms:created>
  <dcterms:modified xsi:type="dcterms:W3CDTF">2026-07-24T19:56:53Z</dcterms:modified>
</cp:coreProperties>
</file>