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aulcortes/Downloads/OSMYC-26-07-0001/OT-7002/MYCA-07-2026-0001/"/>
    </mc:Choice>
  </mc:AlternateContent>
  <xr:revisionPtr revIDLastSave="0" documentId="13_ncr:1_{EA62D30A-9077-5F42-9076-1DCD4CAF0CD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emperatura TLD" sheetId="1" r:id="rId1"/>
    <sheet name="Registro de clientes" sheetId="2" r:id="rId2"/>
  </sheets>
  <definedNames>
    <definedName name="_xlnm.Print_Area" localSheetId="0">'Temperatura TLD'!$A$1:$K$187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6" i="1" l="1"/>
  <c r="D33" i="1"/>
  <c r="J33" i="1"/>
  <c r="B84" i="1"/>
  <c r="B85" i="1"/>
  <c r="B87" i="1"/>
  <c r="B83" i="1"/>
  <c r="O83" i="1" l="1"/>
  <c r="P83" i="1"/>
  <c r="T83" i="1"/>
  <c r="U83" i="1"/>
  <c r="V83" i="1"/>
  <c r="M109" i="1"/>
  <c r="F83" i="1" s="1"/>
  <c r="O109" i="1"/>
  <c r="M83" i="1" s="1"/>
  <c r="O110" i="1"/>
  <c r="M84" i="1" s="1"/>
  <c r="O111" i="1"/>
  <c r="M85" i="1" s="1"/>
  <c r="O112" i="1"/>
  <c r="O113" i="1"/>
  <c r="O114" i="1"/>
  <c r="M86" i="1" s="1"/>
  <c r="N86" i="1" s="1"/>
  <c r="O115" i="1"/>
  <c r="M87" i="1" s="1"/>
  <c r="M110" i="1"/>
  <c r="F84" i="1" s="1"/>
  <c r="M111" i="1"/>
  <c r="F85" i="1" s="1"/>
  <c r="M112" i="1"/>
  <c r="F86" i="1" s="1"/>
  <c r="M113" i="1"/>
  <c r="M114" i="1"/>
  <c r="M115" i="1"/>
  <c r="F87" i="1" s="1"/>
  <c r="O102" i="1"/>
  <c r="Q83" i="1" s="1"/>
  <c r="R83" i="1" s="1"/>
  <c r="O103" i="1"/>
  <c r="O104" i="1"/>
  <c r="O105" i="1"/>
  <c r="O106" i="1"/>
  <c r="O107" i="1"/>
  <c r="O108" i="1"/>
  <c r="M103" i="1"/>
  <c r="C84" i="1" s="1"/>
  <c r="M104" i="1"/>
  <c r="C85" i="1" s="1"/>
  <c r="M105" i="1"/>
  <c r="C86" i="1" s="1"/>
  <c r="M106" i="1"/>
  <c r="M107" i="1"/>
  <c r="M108" i="1"/>
  <c r="C87" i="1" s="1"/>
  <c r="M102" i="1"/>
  <c r="C83" i="1" s="1"/>
  <c r="O86" i="1"/>
  <c r="O85" i="1"/>
  <c r="V86" i="1"/>
  <c r="U86" i="1"/>
  <c r="T86" i="1"/>
  <c r="P86" i="1"/>
  <c r="V85" i="1"/>
  <c r="U85" i="1"/>
  <c r="T85" i="1"/>
  <c r="P85" i="1"/>
  <c r="L83" i="1" l="1"/>
  <c r="L85" i="1"/>
  <c r="L84" i="1"/>
  <c r="O87" i="1" l="1"/>
  <c r="O84" i="1"/>
  <c r="S80" i="1" l="1"/>
  <c r="S83" i="1" s="1"/>
  <c r="V84" i="1"/>
  <c r="V87" i="1"/>
  <c r="U84" i="1"/>
  <c r="U87" i="1"/>
  <c r="T84" i="1"/>
  <c r="T87" i="1"/>
  <c r="Q84" i="1"/>
  <c r="Q87" i="1" l="1"/>
  <c r="R87" i="1" s="1"/>
  <c r="Q85" i="1"/>
  <c r="R85" i="1" s="1"/>
  <c r="Q86" i="1"/>
  <c r="N85" i="1"/>
  <c r="N83" i="1"/>
  <c r="W83" i="1" s="1"/>
  <c r="X83" i="1" s="1"/>
  <c r="J83" i="1" s="1"/>
  <c r="S84" i="1"/>
  <c r="S86" i="1"/>
  <c r="S85" i="1"/>
  <c r="L87" i="1"/>
  <c r="S87" i="1"/>
  <c r="I83" i="1"/>
  <c r="I87" i="1"/>
  <c r="I84" i="1"/>
  <c r="R84" i="1"/>
  <c r="P84" i="1"/>
  <c r="P87" i="1"/>
  <c r="W85" i="1" l="1"/>
  <c r="X85" i="1" s="1"/>
  <c r="J85" i="1" s="1"/>
  <c r="I85" i="1"/>
  <c r="R86" i="1"/>
  <c r="W86" i="1" s="1"/>
  <c r="X86" i="1" s="1"/>
  <c r="J86" i="1" s="1"/>
  <c r="L86" i="1"/>
  <c r="I86" i="1"/>
  <c r="N87" i="1"/>
  <c r="N84" i="1"/>
  <c r="W87" i="1" l="1"/>
  <c r="X87" i="1" s="1"/>
  <c r="J87" i="1" s="1"/>
  <c r="W84" i="1"/>
  <c r="X84" i="1" s="1"/>
  <c r="J84" i="1" s="1"/>
  <c r="I76" i="1" l="1"/>
</calcChain>
</file>

<file path=xl/sharedStrings.xml><?xml version="1.0" encoding="utf-8"?>
<sst xmlns="http://schemas.openxmlformats.org/spreadsheetml/2006/main" count="233" uniqueCount="192">
  <si>
    <t>Instrumento:</t>
  </si>
  <si>
    <t>Modelo:</t>
  </si>
  <si>
    <t>No. de Serie:</t>
  </si>
  <si>
    <t>Identificación:</t>
  </si>
  <si>
    <t>Div. Mínima:</t>
  </si>
  <si>
    <t>Vigencia:</t>
  </si>
  <si>
    <t>Marca:</t>
  </si>
  <si>
    <t>No. de Certificado:</t>
  </si>
  <si>
    <t>Fecha de recepción:</t>
  </si>
  <si>
    <t>Fecha de calibración:</t>
  </si>
  <si>
    <t>Folio:</t>
  </si>
  <si>
    <t>Condiciones ambientales</t>
  </si>
  <si>
    <t>Humedad relativa:</t>
  </si>
  <si>
    <t>Temperatura Inicio:</t>
  </si>
  <si>
    <t>Temperatura final:</t>
  </si>
  <si>
    <t>Procedimiento:</t>
  </si>
  <si>
    <t>Instrumento a calibrar</t>
  </si>
  <si>
    <t>Método:</t>
  </si>
  <si>
    <t>Comparación directa</t>
  </si>
  <si>
    <t>Norma:</t>
  </si>
  <si>
    <t>Incertidumbre:</t>
  </si>
  <si>
    <t>Orden de trabajo:</t>
  </si>
  <si>
    <t>Intervalo:</t>
  </si>
  <si>
    <t>Certificate No.</t>
  </si>
  <si>
    <t>Manufacturer</t>
  </si>
  <si>
    <t>Resolution</t>
  </si>
  <si>
    <t>Serial No.</t>
  </si>
  <si>
    <t>Model</t>
  </si>
  <si>
    <t>ID</t>
  </si>
  <si>
    <t>Reception date</t>
  </si>
  <si>
    <t>Calibration date</t>
  </si>
  <si>
    <t>Next calibration</t>
  </si>
  <si>
    <t>Master</t>
  </si>
  <si>
    <t>Serial Number</t>
  </si>
  <si>
    <t>Next calibration date</t>
  </si>
  <si>
    <t>Environmental conditions</t>
  </si>
  <si>
    <t>Relative humidity</t>
  </si>
  <si>
    <t>Final temperature</t>
  </si>
  <si>
    <t>Procedure</t>
  </si>
  <si>
    <t>Norm</t>
  </si>
  <si>
    <t>Instrument</t>
  </si>
  <si>
    <t>Interval</t>
  </si>
  <si>
    <t>Próxima calibración:</t>
  </si>
  <si>
    <t xml:space="preserve">interval </t>
  </si>
  <si>
    <t>prohibited without their consent.</t>
  </si>
  <si>
    <t xml:space="preserve">Units </t>
  </si>
  <si>
    <t>Unidades:</t>
  </si>
  <si>
    <t>Observaciones:</t>
  </si>
  <si>
    <t>Observations</t>
  </si>
  <si>
    <t>Method</t>
  </si>
  <si>
    <t>Direct comparison</t>
  </si>
  <si>
    <t>Página  /  Page 1 de 2</t>
  </si>
  <si>
    <t>Initial temperature</t>
  </si>
  <si>
    <t>su calidad y funcionamiento.</t>
  </si>
  <si>
    <t>ensuring its quality and functioning.</t>
  </si>
  <si>
    <t>Calibration Results</t>
  </si>
  <si>
    <t xml:space="preserve">      CERTIFICADO DE CALIBRACIÓN</t>
  </si>
  <si>
    <t xml:space="preserve">     Calibration Certificate</t>
  </si>
  <si>
    <t>Acreditación / Acreditation: 88795</t>
  </si>
  <si>
    <t>Instrumento de referencia</t>
  </si>
  <si>
    <t>Reference instrument</t>
  </si>
  <si>
    <t>°C</t>
  </si>
  <si>
    <r>
      <t xml:space="preserve">Incertidumbre [°C] ±  </t>
    </r>
    <r>
      <rPr>
        <b/>
        <sz val="8"/>
        <color theme="1"/>
        <rFont val="Calibri"/>
        <family val="2"/>
        <scheme val="minor"/>
      </rPr>
      <t>Uncertainty [°C] ±</t>
    </r>
  </si>
  <si>
    <r>
      <rPr>
        <b/>
        <sz val="14"/>
        <color theme="1"/>
        <rFont val="Calibri"/>
        <family val="2"/>
        <scheme val="minor"/>
      </rPr>
      <t xml:space="preserve">Datos del usuario  /  </t>
    </r>
    <r>
      <rPr>
        <b/>
        <sz val="10"/>
        <color theme="1"/>
        <rFont val="Calibri"/>
        <family val="2"/>
        <scheme val="minor"/>
      </rPr>
      <t>User data</t>
    </r>
  </si>
  <si>
    <t>Observaciones  /  Observations</t>
  </si>
  <si>
    <t>FCA-15-8</t>
  </si>
  <si>
    <t>R 1</t>
  </si>
  <si>
    <t>Fin del certificado</t>
  </si>
  <si>
    <t>End of the Certificate</t>
  </si>
  <si>
    <t>Instrument under calibration</t>
  </si>
  <si>
    <r>
      <t xml:space="preserve">Valores Medidos  /  </t>
    </r>
    <r>
      <rPr>
        <b/>
        <sz val="9"/>
        <color theme="1"/>
        <rFont val="Calibri"/>
        <family val="2"/>
        <scheme val="minor"/>
      </rPr>
      <t xml:space="preserve">Measured values </t>
    </r>
  </si>
  <si>
    <t>Resultados de la calibración</t>
  </si>
  <si>
    <t xml:space="preserve">MEDIA </t>
  </si>
  <si>
    <t>urep</t>
  </si>
  <si>
    <t>Medio Isotermo:</t>
  </si>
  <si>
    <t>PMT-02: Procedimiento de calibración de temperatura lectura directa.</t>
  </si>
  <si>
    <t>ures IBC</t>
  </si>
  <si>
    <t>ures(HPS)</t>
  </si>
  <si>
    <t>Res</t>
  </si>
  <si>
    <t>urep (PATRON)</t>
  </si>
  <si>
    <t>PATRON</t>
  </si>
  <si>
    <t>IBC</t>
  </si>
  <si>
    <t>VN (HPS)</t>
  </si>
  <si>
    <t>S Desv (IBC)</t>
  </si>
  <si>
    <t>INDICACION</t>
  </si>
  <si>
    <t>Promedios IBC</t>
  </si>
  <si>
    <t>SD PATRON</t>
  </si>
  <si>
    <t>SD IBC</t>
  </si>
  <si>
    <t>Sesgo Instrumental</t>
  </si>
  <si>
    <t>uExa</t>
  </si>
  <si>
    <t>u(Grad)</t>
  </si>
  <si>
    <t>u(Est)</t>
  </si>
  <si>
    <t>ucomb</t>
  </si>
  <si>
    <t>Uexp +/- k=2</t>
  </si>
  <si>
    <t>ureS (PATRON)</t>
  </si>
  <si>
    <t>Medidor con sensor RTD (TLD)</t>
  </si>
  <si>
    <t>PMT-02: Procedure for calibration of temperature meters</t>
  </si>
  <si>
    <t>Calibró Técnico  /  Calibrating Technician</t>
  </si>
  <si>
    <t>Página  /  Page 2 de 2</t>
  </si>
  <si>
    <t>Uncertainty</t>
  </si>
  <si>
    <t>Date of issue</t>
  </si>
  <si>
    <t>Autorizó / Authorized</t>
  </si>
  <si>
    <t>Miguel Felipe Ordaz Higareda</t>
  </si>
  <si>
    <t>Work order</t>
  </si>
  <si>
    <r>
      <t xml:space="preserve">Valor Nominal </t>
    </r>
    <r>
      <rPr>
        <b/>
        <sz val="9"/>
        <rFont val="Calibri"/>
        <family val="2"/>
        <scheme val="minor"/>
      </rPr>
      <t>Nominal value</t>
    </r>
  </si>
  <si>
    <t>se prohíbe la reproducción del mismo sin el consentimiento por parte de este laboratorio.</t>
  </si>
  <si>
    <t>calculada en base a la guía NMX-CH-140-INMC-2002.</t>
  </si>
  <si>
    <t>●  Vigencia acordada con el cliente.</t>
  </si>
  <si>
    <t>●  The calibration results issued are traceable to the international system of units (SI)</t>
  </si>
  <si>
    <t>●  The calibration was carried out under internal procedures, elaborated reference to national and international standards,</t>
  </si>
  <si>
    <t>●  The uncertainty of the measurement is reported as an expanded uncertainty with a coverage factor of K=2  (95.45 % ),</t>
  </si>
  <si>
    <t xml:space="preserve"> calculated based on the guide NMX-CH-140-INMC-2002.</t>
  </si>
  <si>
    <t>●  Validity agreed with the client.</t>
  </si>
  <si>
    <t>Carta de Trazabilidad</t>
  </si>
  <si>
    <t xml:space="preserve">            Traceability letter</t>
  </si>
  <si>
    <t>S Desv (Patrón)</t>
  </si>
  <si>
    <t>Promedios Patrón</t>
  </si>
  <si>
    <t>Lugar de Calibración:</t>
  </si>
  <si>
    <t>Calibration Location</t>
  </si>
  <si>
    <t>Equipo en buen estado general</t>
  </si>
  <si>
    <t>Equipment in good general condition</t>
  </si>
  <si>
    <t>Considerar las desviaciones</t>
  </si>
  <si>
    <t>Se recibe el equipo dentro de tolerancias y se entrega el mismo dentro de tolerancias</t>
  </si>
  <si>
    <t xml:space="preserve">Equipo con desviaciones </t>
  </si>
  <si>
    <t>Consider the deviations</t>
  </si>
  <si>
    <t>The equipment is received within tolerances and is delivered within tolerances</t>
  </si>
  <si>
    <t>Equipment with deviations</t>
  </si>
  <si>
    <t xml:space="preserve">Atención / Attention: </t>
  </si>
  <si>
    <t xml:space="preserve">Empresa / Company: </t>
  </si>
  <si>
    <t xml:space="preserve">Dirección / Address: </t>
  </si>
  <si>
    <t>N° Cliente</t>
  </si>
  <si>
    <t>Para cambiar de Cliente revisar: registro de clientes</t>
  </si>
  <si>
    <t>Cliente</t>
  </si>
  <si>
    <t>contacto</t>
  </si>
  <si>
    <t>direccion</t>
  </si>
  <si>
    <t>Honda de México S.A. de C.V.</t>
  </si>
  <si>
    <t>Yolanda Yebra</t>
  </si>
  <si>
    <t>Carretera al castillo #7250, Parque Industrial, El Salto, Jalisco.</t>
  </si>
  <si>
    <t>Gustavo Rosales</t>
  </si>
  <si>
    <t>Edson Campos</t>
  </si>
  <si>
    <t>Carretera  Libramiento sur km 6, Col. La Luz, C.P. 38140, Celaya, Guanajuato.</t>
  </si>
  <si>
    <t>Gonzalo Juarez</t>
  </si>
  <si>
    <t>Advantia Industrial Service S. de RL. De C.V</t>
  </si>
  <si>
    <t xml:space="preserve">Av.de la Convención 1914 ote #701 Int.6 Aguascalientes, Aguascalientes. </t>
  </si>
  <si>
    <t>Agua Azul Motors S.A. de C.V.</t>
  </si>
  <si>
    <t>Daniel Santana.</t>
  </si>
  <si>
    <t>Calz. Jesús González Gallo No. 450, La Aurora, C.P. 44100, Guadalajara Jalisco.</t>
  </si>
  <si>
    <t>Amarox Pharma S.A. de C.V.</t>
  </si>
  <si>
    <t xml:space="preserve"> Avenida de los 50 metros #402, Col. Civac, C.P. 62578, Jiutepec, Morelos.</t>
  </si>
  <si>
    <t xml:space="preserve"> Audi Center Beckve  S.A. de C.V.</t>
  </si>
  <si>
    <t>Fabiola Valenzuela.</t>
  </si>
  <si>
    <t>Av. Patria 2112, Santa Isabel, 45110 Zapopan, Jal.</t>
  </si>
  <si>
    <t>Despacho de Ingenieria y Muestreos Ambientales S.A. de C.V.</t>
  </si>
  <si>
    <t>Martin Roberto Sandoval Rojo</t>
  </si>
  <si>
    <t>Isla Cartagena N° 2950, Col. Jardnines de la Cruz, C.P. 44950, Guadlajara Jalisco</t>
  </si>
  <si>
    <t>Fecha en emisión:</t>
  </si>
  <si>
    <r>
      <rPr>
        <sz val="8"/>
        <color theme="1"/>
        <rFont val="Calibri"/>
        <family val="2"/>
      </rPr>
      <t xml:space="preserve">●  </t>
    </r>
    <r>
      <rPr>
        <sz val="8"/>
        <color theme="1"/>
        <rFont val="Calibri"/>
        <family val="2"/>
        <scheme val="minor"/>
      </rPr>
      <t xml:space="preserve">El presente certificado ampara sólo los resultados y mediciones reportados  en el mismo, únicamente tiene validez en su forma original y </t>
    </r>
  </si>
  <si>
    <r>
      <rPr>
        <sz val="8"/>
        <color theme="1"/>
        <rFont val="Calibri"/>
        <family val="2"/>
      </rPr>
      <t xml:space="preserve">●  </t>
    </r>
    <r>
      <rPr>
        <sz val="8"/>
        <color theme="1"/>
        <rFont val="Calibri"/>
        <family val="2"/>
        <scheme val="minor"/>
      </rPr>
      <t>Los resultados de la calibración emitidos son trazables al sistema internacional de unidades (SI)</t>
    </r>
  </si>
  <si>
    <r>
      <rPr>
        <sz val="8"/>
        <color theme="1"/>
        <rFont val="Calibri"/>
        <family val="2"/>
      </rPr>
      <t xml:space="preserve">●  </t>
    </r>
    <r>
      <rPr>
        <sz val="8"/>
        <color theme="1"/>
        <rFont val="Calibri"/>
        <family val="2"/>
        <scheme val="minor"/>
      </rPr>
      <t>La calibración fue realizada bajo procedimientos internos, elaborados en referencia a normas nacionales e internacionales  asegurando</t>
    </r>
  </si>
  <si>
    <r>
      <rPr>
        <sz val="8"/>
        <color theme="1"/>
        <rFont val="Calibri"/>
        <family val="2"/>
      </rPr>
      <t>●  L</t>
    </r>
    <r>
      <rPr>
        <sz val="8"/>
        <color theme="1"/>
        <rFont val="Calibri"/>
        <family val="2"/>
        <scheme val="minor"/>
      </rPr>
      <t>a incertidumbre de la medición se reporta como una incertidumbre expandida con un factor de cobertura K=2 (95.45%),</t>
    </r>
  </si>
  <si>
    <r>
      <rPr>
        <sz val="8"/>
        <color theme="1"/>
        <rFont val="Calibri"/>
        <family val="2"/>
      </rPr>
      <t xml:space="preserve">●  </t>
    </r>
    <r>
      <rPr>
        <sz val="8"/>
        <color theme="1"/>
        <rFont val="Calibri"/>
        <family val="2"/>
        <scheme val="minor"/>
      </rPr>
      <t xml:space="preserve">This certificate covers only the results and measurements reported in it, it is only valid in its original form and its reproduction is </t>
    </r>
  </si>
  <si>
    <t>se detecta terminal dañada</t>
  </si>
  <si>
    <t>Miguel Ángel Muñoz Torres</t>
  </si>
  <si>
    <t>Kegma S.A De. C.V.</t>
  </si>
  <si>
    <t>Nancy Gutierrez</t>
  </si>
  <si>
    <t>Calle Industrial #4, #41-A, La primavera, Culiacan, Sinaloa.</t>
  </si>
  <si>
    <t>TEM-06</t>
  </si>
  <si>
    <t>NMX-CH-70-1993-SCFT</t>
  </si>
  <si>
    <t>Tipo:</t>
  </si>
  <si>
    <t>Type</t>
  </si>
  <si>
    <t>K</t>
  </si>
  <si>
    <t>Traceable</t>
  </si>
  <si>
    <r>
      <rPr>
        <u/>
        <sz val="11"/>
        <color theme="0"/>
        <rFont val="Calibri"/>
        <family val="2"/>
        <scheme val="minor"/>
      </rPr>
      <t>.</t>
    </r>
    <r>
      <rPr>
        <u/>
        <sz val="11"/>
        <color theme="1"/>
        <rFont val="Calibri"/>
        <family val="2"/>
        <scheme val="minor"/>
      </rPr>
      <t xml:space="preserve">-200 a 500 °C </t>
    </r>
  </si>
  <si>
    <t>38CZ59</t>
  </si>
  <si>
    <t>Certificado / Certificate: L25-313</t>
  </si>
  <si>
    <t>METROLOGIA Y SERVICIOS MYC S.A. DE C.V.</t>
  </si>
  <si>
    <t>Isla Martinica # 2710, Col. Jardines de la Cruz, C.P. 44950 Guadalajara, Jalisco</t>
  </si>
  <si>
    <t>Tel. 01 (33) 5009-2659        monse.cortes@mycmetrology.com.mx</t>
  </si>
  <si>
    <t xml:space="preserve">●  Este informe fue elaborado por Metrologia y Servicios MYC  S.A. de C.V. </t>
  </si>
  <si>
    <t xml:space="preserve">●  This report was prepared by Metrologia y Servicios MYC  S.A. de C.V. </t>
  </si>
  <si>
    <t>IBC-C-T-0681-2025</t>
  </si>
  <si>
    <t>Jofra / 912353 / Cert: IBC-C-E-0679-2025/ ID: TEM-03.</t>
  </si>
  <si>
    <t>MYCA-07-2026-0001</t>
  </si>
  <si>
    <t>SUSANA ZAVALETA</t>
  </si>
  <si>
    <t>LAVATELCHOCHO</t>
  </si>
  <si>
    <t>AV DEL RINCON, 13, RINCONADA, RINCON, RINCONCITO, MX 94949</t>
  </si>
  <si>
    <t>TERMÓMETRO</t>
  </si>
  <si>
    <t>DWYER</t>
  </si>
  <si>
    <t>0 - 150 °C</t>
  </si>
  <si>
    <t>TRXCE</t>
  </si>
  <si>
    <t>TER-01</t>
  </si>
  <si>
    <t>LAB MYC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</si>
</sst>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\°\C"/>
    <numFmt numFmtId="166" formatCode="0.0\ \°\C"/>
    <numFmt numFmtId="167" formatCode="0.0"/>
    <numFmt numFmtId="168" formatCode="0.0000"/>
    <numFmt numFmtId="169" formatCode="yyyy\-mm\-dd;@"/>
    <numFmt numFmtId="170" formatCode="0.0\°\C"/>
    <numFmt numFmtId="172" formatCode="yyyy\-mm\-dd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CC"/>
      <name val="Eras Medium ITC"/>
      <family val="2"/>
    </font>
    <font>
      <sz val="10"/>
      <color rgb="FF0033CC"/>
      <name val="Eras Medium ITC"/>
      <family val="2"/>
    </font>
    <font>
      <b/>
      <sz val="10"/>
      <name val="Eras Medium ITC"/>
      <family val="2"/>
    </font>
    <font>
      <sz val="9"/>
      <name val="Eras Medium ITC"/>
      <family val="2"/>
    </font>
    <font>
      <sz val="10"/>
      <name val="Eras Medium ITC"/>
      <family val="2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name val="Arial"/>
      <family val="2"/>
    </font>
    <font>
      <sz val="7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20"/>
      <color theme="4" tint="-0.249977111117893"/>
      <name val="Arial Rounded MT Bold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4" tint="-0.249977111117893"/>
      <name val="Arial Rounded MT Bold"/>
      <family val="2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 Black"/>
      <family val="2"/>
    </font>
    <font>
      <b/>
      <sz val="8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rgb="FFC00000"/>
      <name val="Calibri Light"/>
      <family val="2"/>
      <scheme val="major"/>
    </font>
    <font>
      <u/>
      <sz val="9"/>
      <color theme="1"/>
      <name val="Calibri"/>
      <family val="2"/>
      <scheme val="minor"/>
    </font>
    <font>
      <u/>
      <sz val="11"/>
      <color theme="1"/>
      <name val="Calibri"/>
      <family val="2"/>
    </font>
    <font>
      <b/>
      <sz val="16"/>
      <color theme="4" tint="-0.249977111117893"/>
      <name val="Arial Rounded MT Bold"/>
      <family val="2"/>
    </font>
    <font>
      <sz val="11"/>
      <color rgb="FFFF3F3F"/>
      <name val="Calibri"/>
      <family val="2"/>
      <scheme val="minor"/>
    </font>
    <font>
      <b/>
      <sz val="11"/>
      <color rgb="FFFF3F3F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color theme="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CECFF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0" fillId="0" borderId="0"/>
    <xf numFmtId="9" fontId="39" fillId="0" borderId="0" applyFont="0" applyFill="0" applyBorder="0" applyAlignment="0" applyProtection="0"/>
  </cellStyleXfs>
  <cellXfs count="257">
    <xf numFmtId="0" fontId="0" fillId="0" borderId="0" xfId="0"/>
    <xf numFmtId="0" fontId="8" fillId="0" borderId="0" xfId="0" applyFont="1"/>
    <xf numFmtId="0" fontId="13" fillId="0" borderId="0" xfId="0" applyFont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horizontal="center" wrapText="1"/>
    </xf>
    <xf numFmtId="0" fontId="13" fillId="0" borderId="0" xfId="0" applyFont="1" applyAlignment="1">
      <alignment vertical="center" wrapText="1"/>
    </xf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4" fillId="0" borderId="0" xfId="0" applyFont="1" applyAlignment="1">
      <alignment vertical="center"/>
    </xf>
    <xf numFmtId="0" fontId="0" fillId="0" borderId="13" xfId="0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3" xfId="0" applyFont="1" applyBorder="1"/>
    <xf numFmtId="0" fontId="2" fillId="0" borderId="0" xfId="0" applyFont="1"/>
    <xf numFmtId="0" fontId="3" fillId="0" borderId="13" xfId="0" applyFont="1" applyBorder="1" applyAlignment="1">
      <alignment wrapText="1"/>
    </xf>
    <xf numFmtId="0" fontId="12" fillId="0" borderId="0" xfId="0" applyFont="1"/>
    <xf numFmtId="0" fontId="3" fillId="0" borderId="13" xfId="0" applyFont="1" applyBorder="1"/>
    <xf numFmtId="0" fontId="16" fillId="0" borderId="0" xfId="0" applyFont="1" applyAlignment="1">
      <alignment vertical="center"/>
    </xf>
    <xf numFmtId="0" fontId="16" fillId="0" borderId="0" xfId="0" applyFont="1"/>
    <xf numFmtId="0" fontId="0" fillId="0" borderId="3" xfId="0" applyBorder="1"/>
    <xf numFmtId="0" fontId="21" fillId="0" borderId="0" xfId="0" applyFont="1"/>
    <xf numFmtId="0" fontId="0" fillId="0" borderId="0" xfId="0" applyAlignment="1">
      <alignment horizontal="left"/>
    </xf>
    <xf numFmtId="0" fontId="18" fillId="0" borderId="0" xfId="0" applyFont="1"/>
    <xf numFmtId="0" fontId="7" fillId="0" borderId="0" xfId="0" applyFont="1"/>
    <xf numFmtId="0" fontId="2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3" fillId="0" borderId="0" xfId="0" applyFont="1"/>
    <xf numFmtId="14" fontId="7" fillId="0" borderId="0" xfId="0" applyNumberFormat="1" applyFont="1" applyAlignment="1">
      <alignment horizontal="left"/>
    </xf>
    <xf numFmtId="0" fontId="28" fillId="0" borderId="0" xfId="0" applyFont="1"/>
    <xf numFmtId="14" fontId="0" fillId="0" borderId="0" xfId="0" applyNumberFormat="1" applyAlignment="1">
      <alignment horizontal="left"/>
    </xf>
    <xf numFmtId="0" fontId="21" fillId="0" borderId="0" xfId="0" applyFont="1" applyAlignment="1">
      <alignment vertical="center"/>
    </xf>
    <xf numFmtId="0" fontId="17" fillId="0" borderId="13" xfId="0" applyFont="1" applyBorder="1"/>
    <xf numFmtId="0" fontId="17" fillId="0" borderId="12" xfId="0" applyFont="1" applyBorder="1"/>
    <xf numFmtId="0" fontId="20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1" xfId="0" applyBorder="1"/>
    <xf numFmtId="0" fontId="2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1" fillId="0" borderId="0" xfId="0" applyFont="1"/>
    <xf numFmtId="0" fontId="2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0" borderId="14" xfId="0" applyBorder="1"/>
    <xf numFmtId="0" fontId="12" fillId="0" borderId="9" xfId="0" applyFont="1" applyBorder="1" applyAlignment="1">
      <alignment horizontal="center"/>
    </xf>
    <xf numFmtId="0" fontId="2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5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4" fontId="0" fillId="0" borderId="0" xfId="0" applyNumberFormat="1"/>
    <xf numFmtId="164" fontId="10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/>
    <xf numFmtId="49" fontId="7" fillId="0" borderId="0" xfId="0" applyNumberFormat="1" applyFont="1" applyAlignment="1">
      <alignment horizontal="left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7" fontId="24" fillId="5" borderId="22" xfId="0" applyNumberFormat="1" applyFont="1" applyFill="1" applyBorder="1" applyAlignment="1">
      <alignment horizontal="center" vertical="center"/>
    </xf>
    <xf numFmtId="1" fontId="0" fillId="0" borderId="38" xfId="0" applyNumberFormat="1" applyBorder="1"/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7" fontId="24" fillId="5" borderId="29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167" fontId="0" fillId="0" borderId="6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167" fontId="0" fillId="0" borderId="18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33" fillId="0" borderId="0" xfId="0" applyFont="1"/>
    <xf numFmtId="2" fontId="31" fillId="3" borderId="20" xfId="0" applyNumberFormat="1" applyFont="1" applyFill="1" applyBorder="1" applyAlignment="1">
      <alignment horizontal="center" vertical="center"/>
    </xf>
    <xf numFmtId="2" fontId="31" fillId="3" borderId="20" xfId="0" applyNumberFormat="1" applyFont="1" applyFill="1" applyBorder="1" applyAlignment="1">
      <alignment horizontal="center"/>
    </xf>
    <xf numFmtId="0" fontId="15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0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center"/>
    </xf>
    <xf numFmtId="169" fontId="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12" fillId="0" borderId="0" xfId="0" applyFont="1" applyAlignment="1">
      <alignment horizontal="center"/>
    </xf>
    <xf numFmtId="0" fontId="17" fillId="0" borderId="3" xfId="0" applyFont="1" applyBorder="1" applyAlignment="1">
      <alignment horizontal="left"/>
    </xf>
    <xf numFmtId="164" fontId="31" fillId="3" borderId="20" xfId="0" applyNumberFormat="1" applyFont="1" applyFill="1" applyBorder="1" applyAlignment="1">
      <alignment horizontal="center" vertical="center"/>
    </xf>
    <xf numFmtId="164" fontId="31" fillId="3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4" fillId="0" borderId="0" xfId="0" applyFont="1"/>
    <xf numFmtId="0" fontId="24" fillId="0" borderId="0" xfId="0" applyFont="1"/>
    <xf numFmtId="0" fontId="35" fillId="0" borderId="22" xfId="0" applyFont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0" borderId="5" xfId="0" applyBorder="1"/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19" fillId="0" borderId="0" xfId="0" applyFont="1" applyAlignment="1">
      <alignment horizontal="right" vertical="center"/>
    </xf>
    <xf numFmtId="0" fontId="32" fillId="0" borderId="0" xfId="0" applyFont="1"/>
    <xf numFmtId="0" fontId="17" fillId="0" borderId="0" xfId="0" applyFont="1" applyAlignment="1">
      <alignment horizontal="right"/>
    </xf>
    <xf numFmtId="1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left"/>
    </xf>
    <xf numFmtId="170" fontId="7" fillId="0" borderId="0" xfId="0" applyNumberFormat="1" applyFont="1" applyAlignment="1">
      <alignment horizontal="center"/>
    </xf>
    <xf numFmtId="0" fontId="26" fillId="0" borderId="0" xfId="0" applyFont="1"/>
    <xf numFmtId="0" fontId="22" fillId="0" borderId="0" xfId="0" applyFont="1" applyAlignment="1">
      <alignment horizontal="left"/>
    </xf>
    <xf numFmtId="167" fontId="1" fillId="0" borderId="49" xfId="0" applyNumberFormat="1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167" fontId="31" fillId="3" borderId="17" xfId="0" applyNumberFormat="1" applyFont="1" applyFill="1" applyBorder="1" applyAlignment="1">
      <alignment horizontal="center" vertical="center"/>
    </xf>
    <xf numFmtId="172" fontId="7" fillId="0" borderId="0" xfId="0" applyNumberFormat="1" applyFont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20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36" xfId="0" applyBorder="1" applyAlignment="1">
      <alignment horizontal="center"/>
    </xf>
    <xf numFmtId="0" fontId="0" fillId="0" borderId="19" xfId="0" applyBorder="1" applyAlignment="1">
      <alignment horizontal="center"/>
    </xf>
    <xf numFmtId="167" fontId="31" fillId="3" borderId="17" xfId="0" applyNumberFormat="1" applyFont="1" applyFill="1" applyBorder="1" applyAlignment="1">
      <alignment horizontal="center" vertical="center" wrapText="1"/>
    </xf>
    <xf numFmtId="2" fontId="0" fillId="0" borderId="32" xfId="0" applyNumberFormat="1" applyBorder="1" applyAlignment="1">
      <alignment horizontal="center" vertical="center"/>
    </xf>
    <xf numFmtId="167" fontId="0" fillId="0" borderId="33" xfId="0" applyNumberFormat="1" applyBorder="1" applyAlignment="1">
      <alignment horizontal="center" vertical="center"/>
    </xf>
    <xf numFmtId="1" fontId="31" fillId="3" borderId="17" xfId="0" applyNumberFormat="1" applyFont="1" applyFill="1" applyBorder="1" applyAlignment="1">
      <alignment horizontal="center" vertical="center"/>
    </xf>
    <xf numFmtId="1" fontId="31" fillId="3" borderId="18" xfId="0" applyNumberFormat="1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36" fillId="0" borderId="43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169" fontId="7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0" fillId="0" borderId="0" xfId="0" applyFont="1" applyAlignment="1">
      <alignment horizontal="right" vertical="center"/>
    </xf>
    <xf numFmtId="0" fontId="0" fillId="0" borderId="2" xfId="0" applyBorder="1" applyAlignment="1">
      <alignment horizontal="center"/>
    </xf>
    <xf numFmtId="0" fontId="20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20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/>
    </xf>
    <xf numFmtId="0" fontId="7" fillId="0" borderId="13" xfId="0" applyFont="1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wrapText="1"/>
    </xf>
    <xf numFmtId="0" fontId="3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0" fillId="3" borderId="1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/>
    </xf>
    <xf numFmtId="0" fontId="24" fillId="0" borderId="33" xfId="0" applyFont="1" applyBorder="1" applyAlignment="1">
      <alignment horizontal="center"/>
    </xf>
    <xf numFmtId="0" fontId="9" fillId="2" borderId="45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22" fillId="0" borderId="9" xfId="0" applyFont="1" applyBorder="1" applyAlignment="1">
      <alignment horizontal="left"/>
    </xf>
    <xf numFmtId="0" fontId="24" fillId="0" borderId="35" xfId="0" applyFont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9" fillId="0" borderId="25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0" borderId="3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22" fillId="0" borderId="0" xfId="0" applyFont="1" applyAlignment="1">
      <alignment horizontal="left" wrapText="1"/>
    </xf>
    <xf numFmtId="0" fontId="24" fillId="0" borderId="0" xfId="0" applyFont="1" applyAlignment="1">
      <alignment horizontal="center"/>
    </xf>
    <xf numFmtId="0" fontId="0" fillId="0" borderId="3" xfId="0" applyBorder="1" applyAlignment="1">
      <alignment horizontal="right"/>
    </xf>
    <xf numFmtId="0" fontId="0" fillId="0" borderId="15" xfId="0" applyBorder="1" applyAlignment="1">
      <alignment horizontal="right"/>
    </xf>
    <xf numFmtId="0" fontId="20" fillId="0" borderId="0" xfId="0" applyFont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1" xfId="0" applyFont="1" applyBorder="1" applyAlignment="1">
      <alignment horizont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0" fillId="0" borderId="47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1" fontId="32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1" fontId="7" fillId="0" borderId="0" xfId="0" applyNumberFormat="1" applyFont="1" applyAlignment="1">
      <alignment horizontal="center"/>
    </xf>
    <xf numFmtId="2" fontId="0" fillId="0" borderId="0" xfId="0" applyNumberFormat="1"/>
    <xf numFmtId="1" fontId="0" fillId="0" borderId="0" xfId="0" applyNumberFormat="1"/>
    <xf numFmtId="9" fontId="0" fillId="0" borderId="0" xfId="2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5353"/>
      <color rgb="FFFF4747"/>
      <color rgb="FFFF3F3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de Indicación</a:t>
            </a:r>
          </a:p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indication error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274449207456885"/>
          <c:y val="0.29494503546099288"/>
          <c:w val="0.77555136220573362"/>
          <c:h val="0.38317671394799052"/>
        </c:manualLayout>
      </c:layout>
      <c:lineChart>
        <c:grouping val="standard"/>
        <c:varyColors val="0"/>
        <c:ser>
          <c:idx val="0"/>
          <c:order val="0"/>
          <c:tx>
            <c:v>Error de Indicación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'Temperatura TLD'!$I$83:$I$87</c:f>
              <c:numCache>
                <c:formatCode>0.00</c:formatCode>
                <c:ptCount val="4"/>
                <c:pt idx="0">
                  <c:v>8.9999999999999858E-2</c:v>
                </c:pt>
                <c:pt idx="1">
                  <c:v>1</c:v>
                </c:pt>
                <c:pt idx="2">
                  <c:v>-0.20000000000000284</c:v>
                </c:pt>
                <c:pt idx="3">
                  <c:v>0.79999999999999005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BE-4F34-928D-807EDD225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643584"/>
        <c:axId val="294771712"/>
      </c:lineChart>
      <c:catAx>
        <c:axId val="29464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4771712"/>
        <c:crosses val="autoZero"/>
        <c:auto val="1"/>
        <c:lblAlgn val="ctr"/>
        <c:lblOffset val="100"/>
        <c:noMultiLvlLbl val="0"/>
      </c:catAx>
      <c:valAx>
        <c:axId val="29477171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46435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INCERTIDUMBRE</a:t>
            </a:r>
          </a:p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MX" sz="800" b="1">
                <a:solidFill>
                  <a:schemeClr val="tx1">
                    <a:lumMod val="75000"/>
                    <a:lumOff val="25000"/>
                  </a:schemeClr>
                </a:solidFill>
              </a:rPr>
              <a:t>UNCERTAINTY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'Temperatura TLD'!$J$83:$J$87</c:f>
              <c:numCache>
                <c:formatCode>0.00</c:formatCode>
                <c:ptCount val="4"/>
                <c:pt idx="0">
                  <c:v>0.7417106354008054</c:v>
                </c:pt>
                <c:pt idx="1">
                  <c:v>0.7417106354008054</c:v>
                </c:pt>
                <c:pt idx="2">
                  <c:v>0.75120022482542759</c:v>
                </c:pt>
                <c:pt idx="3">
                  <c:v>0.7417106354008054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F2-4F43-B720-84C3FB47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177856"/>
        <c:axId val="297179776"/>
      </c:scatterChart>
      <c:valAx>
        <c:axId val="29717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7179776"/>
        <c:crosses val="autoZero"/>
        <c:crossBetween val="midCat"/>
      </c:valAx>
      <c:valAx>
        <c:axId val="29717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717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 orientation="portrait"/>
  </c:printSettings>
</c:chartSpac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3_1">
  <dgm:title val=""/>
  <dgm:desc val=""/>
  <dgm:catLst>
    <dgm:cat type="accent3" pri="11100"/>
  </dgm:catLst>
  <dgm:styleLbl name="node0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3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parChTrans2D3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parChTrans2D4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3">
        <a:alpha val="4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8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3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E560222-44FE-4EAE-9873-682A2BD29CD0}" type="doc">
      <dgm:prSet loTypeId="urn:microsoft.com/office/officeart/2005/8/layout/process2" loCatId="process" qsTypeId="urn:microsoft.com/office/officeart/2005/8/quickstyle/simple4" qsCatId="simple" csTypeId="urn:microsoft.com/office/officeart/2005/8/colors/accent3_1" csCatId="accent3" phldr="1"/>
      <dgm:spPr/>
      <dgm:t>
        <a:bodyPr/>
        <a:lstStyle/>
        <a:p>
          <a:endParaRPr lang="es-MX"/>
        </a:p>
      </dgm:t>
    </dgm:pt>
    <dgm:pt modelId="{92CCC0B2-2758-439B-A4AD-7E1C2D7E53B7}">
      <dgm:prSet phldrT="[Text]" custT="1"/>
      <dgm:spPr>
        <a:solidFill>
          <a:schemeClr val="bg1">
            <a:lumMod val="85000"/>
          </a:schemeClr>
        </a:solidFill>
      </dgm:spPr>
      <dgm:t>
        <a:bodyPr/>
        <a:lstStyle/>
        <a:p>
          <a:pPr algn="ctr"/>
          <a:r>
            <a:rPr lang="es-MX" sz="2200" b="1">
              <a:solidFill>
                <a:schemeClr val="tx1"/>
              </a:solidFill>
            </a:rPr>
            <a:t>Sistema Internacional de Unidades</a:t>
          </a:r>
        </a:p>
        <a:p>
          <a:pPr algn="ctr"/>
          <a:r>
            <a:rPr lang="es-MX" sz="2200" b="1">
              <a:solidFill>
                <a:schemeClr val="tx1"/>
              </a:solidFill>
            </a:rPr>
            <a:t> (SI)</a:t>
          </a:r>
        </a:p>
      </dgm:t>
    </dgm:pt>
    <dgm:pt modelId="{FF889F0A-B897-4539-A62B-DBCCC835E9C0}" type="parTrans" cxnId="{A51C8270-41E5-4E13-AF0C-A4760EF4EC4B}">
      <dgm:prSet/>
      <dgm:spPr/>
      <dgm:t>
        <a:bodyPr/>
        <a:lstStyle/>
        <a:p>
          <a:endParaRPr lang="ca-ES"/>
        </a:p>
      </dgm:t>
    </dgm:pt>
    <dgm:pt modelId="{9511B1DF-A7D0-4E1D-A8A0-7597123C6721}" type="sibTrans" cxnId="{A51C8270-41E5-4E13-AF0C-A4760EF4EC4B}">
      <dgm:prSet/>
      <dgm:spPr/>
      <dgm:t>
        <a:bodyPr/>
        <a:lstStyle/>
        <a:p>
          <a:endParaRPr lang="es-MX"/>
        </a:p>
      </dgm:t>
    </dgm:pt>
    <dgm:pt modelId="{C8AF0927-FD41-4BFE-8023-8540E7C19C29}">
      <dgm:prSet phldrT="[Text]" custT="1"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2200" b="1">
              <a:solidFill>
                <a:schemeClr val="tx1"/>
              </a:solidFill>
            </a:rPr>
            <a:t>IBC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Calibrador de procesos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Identificacion: IBC-011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Certificado: CMX24-1668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Marca: Fluke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Modelo: 754</a:t>
          </a:r>
        </a:p>
        <a:p>
          <a:pPr algn="ctr"/>
          <a:r>
            <a:rPr lang="es-MX" sz="1200" b="0">
              <a:solidFill>
                <a:schemeClr val="tx1"/>
              </a:solidFill>
            </a:rPr>
            <a:t>Serie: 2063003</a:t>
          </a:r>
        </a:p>
      </dgm:t>
    </dgm:pt>
    <dgm:pt modelId="{036F13A3-7EBA-4460-9143-4C3278839A26}" type="parTrans" cxnId="{30F3AE00-CD76-457E-A29B-D870C1B5C3C0}">
      <dgm:prSet/>
      <dgm:spPr/>
      <dgm:t>
        <a:bodyPr/>
        <a:lstStyle/>
        <a:p>
          <a:endParaRPr lang="ca-ES"/>
        </a:p>
      </dgm:t>
    </dgm:pt>
    <dgm:pt modelId="{810ADA6F-0FD2-4D61-9FAB-BD1CB2719DF9}" type="sibTrans" cxnId="{30F3AE00-CD76-457E-A29B-D870C1B5C3C0}">
      <dgm:prSet/>
      <dgm:spPr/>
      <dgm:t>
        <a:bodyPr/>
        <a:lstStyle/>
        <a:p>
          <a:endParaRPr lang="es-MX"/>
        </a:p>
      </dgm:t>
    </dgm:pt>
    <dgm:pt modelId="{6A8A9433-6D53-4625-82B8-98BA2D50853D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ca-ES" sz="2000" b="1"/>
            <a:t>Metrologia y Servicios MYC S.A. de C.V. </a:t>
          </a:r>
        </a:p>
      </dgm:t>
    </dgm:pt>
    <dgm:pt modelId="{6AC83EAB-3472-4FD7-BF89-509AEC59EBD3}" type="parTrans" cxnId="{AF7FF969-564D-4AB6-AC4A-CCBF998965B4}">
      <dgm:prSet/>
      <dgm:spPr/>
      <dgm:t>
        <a:bodyPr/>
        <a:lstStyle/>
        <a:p>
          <a:endParaRPr lang="ca-ES"/>
        </a:p>
      </dgm:t>
    </dgm:pt>
    <dgm:pt modelId="{4BAB1510-9628-4D65-8802-65172FB58530}" type="sibTrans" cxnId="{AF7FF969-564D-4AB6-AC4A-CCBF998965B4}">
      <dgm:prSet/>
      <dgm:spPr/>
      <dgm:t>
        <a:bodyPr/>
        <a:lstStyle/>
        <a:p>
          <a:endParaRPr lang="es-MX"/>
        </a:p>
      </dgm:t>
    </dgm:pt>
    <dgm:pt modelId="{BA0F4021-94D2-45F3-A4B5-09781308918B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1600">
              <a:solidFill>
                <a:schemeClr val="tx1"/>
              </a:solidFill>
            </a:rPr>
            <a:t>Medidor de temperatura con sensor tipo RTD</a:t>
          </a:r>
        </a:p>
      </dgm:t>
    </dgm:pt>
    <dgm:pt modelId="{275A2175-DD90-4FA2-8BC9-0AE1AF4EFF5C}" type="sibTrans" cxnId="{FF2B3528-928F-4F5C-AAFC-0EA68785B3FA}">
      <dgm:prSet/>
      <dgm:spPr/>
      <dgm:t>
        <a:bodyPr/>
        <a:lstStyle/>
        <a:p>
          <a:endParaRPr lang="ca-ES"/>
        </a:p>
      </dgm:t>
    </dgm:pt>
    <dgm:pt modelId="{F831C6A8-6DDE-401B-B203-84902C94AF41}" type="parTrans" cxnId="{FF2B3528-928F-4F5C-AAFC-0EA68785B3FA}">
      <dgm:prSet/>
      <dgm:spPr/>
      <dgm:t>
        <a:bodyPr/>
        <a:lstStyle/>
        <a:p>
          <a:endParaRPr lang="ca-ES"/>
        </a:p>
      </dgm:t>
    </dgm:pt>
    <dgm:pt modelId="{80660E88-2456-4971-8DD8-77C8C6B2C349}">
      <dgm:prSet custT="1"/>
      <dgm:spPr>
        <a:solidFill>
          <a:schemeClr val="bg2">
            <a:lumMod val="50000"/>
          </a:schemeClr>
        </a:solidFill>
      </dgm:spPr>
      <dgm:t>
        <a:bodyPr/>
        <a:lstStyle/>
        <a:p>
          <a:pPr algn="ctr"/>
          <a:r>
            <a:rPr lang="es-MX" sz="2200">
              <a:solidFill>
                <a:schemeClr val="bg1"/>
              </a:solidFill>
            </a:rPr>
            <a:t>Usuario final</a:t>
          </a:r>
        </a:p>
      </dgm:t>
    </dgm:pt>
    <dgm:pt modelId="{A0C77EE8-51A0-4BF3-80DD-27A89D5AAD48}" type="sibTrans" cxnId="{0099302B-51AC-48B3-A34F-EEBD2D34F9E3}">
      <dgm:prSet/>
      <dgm:spPr/>
      <dgm:t>
        <a:bodyPr/>
        <a:lstStyle/>
        <a:p>
          <a:endParaRPr lang="ca-ES"/>
        </a:p>
      </dgm:t>
    </dgm:pt>
    <dgm:pt modelId="{7A3F62B8-3BB7-43BB-9172-B548273C152A}" type="parTrans" cxnId="{0099302B-51AC-48B3-A34F-EEBD2D34F9E3}">
      <dgm:prSet/>
      <dgm:spPr/>
      <dgm:t>
        <a:bodyPr/>
        <a:lstStyle/>
        <a:p>
          <a:endParaRPr lang="ca-ES"/>
        </a:p>
      </dgm:t>
    </dgm:pt>
    <dgm:pt modelId="{3EE06EC5-6459-408B-8468-FDAC199D0CE4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1600">
              <a:solidFill>
                <a:schemeClr val="tx1"/>
              </a:solidFill>
            </a:rPr>
            <a:t>U</a:t>
          </a:r>
          <a:r>
            <a:rPr lang="es-MX" sz="1200">
              <a:solidFill>
                <a:schemeClr val="tx1"/>
              </a:solidFill>
            </a:rPr>
            <a:t>E</a:t>
          </a:r>
          <a:r>
            <a:rPr lang="es-MX" sz="1600">
              <a:solidFill>
                <a:schemeClr val="tx1"/>
              </a:solidFill>
            </a:rPr>
            <a:t>: 0.11 °C</a:t>
          </a:r>
        </a:p>
      </dgm:t>
    </dgm:pt>
    <dgm:pt modelId="{D9550F3C-089C-4ADB-8646-49ABF99D1FD5}" type="parTrans" cxnId="{6E3BAC98-391C-48B8-A722-F6F30C468B97}">
      <dgm:prSet/>
      <dgm:spPr/>
      <dgm:t>
        <a:bodyPr/>
        <a:lstStyle/>
        <a:p>
          <a:endParaRPr lang="es-MX"/>
        </a:p>
      </dgm:t>
    </dgm:pt>
    <dgm:pt modelId="{3A86B4F0-5578-4349-B55F-68591C4E9231}" type="sibTrans" cxnId="{6E3BAC98-391C-48B8-A722-F6F30C468B97}">
      <dgm:prSet/>
      <dgm:spPr/>
      <dgm:t>
        <a:bodyPr/>
        <a:lstStyle/>
        <a:p>
          <a:endParaRPr lang="es-MX"/>
        </a:p>
      </dgm:t>
    </dgm:pt>
    <dgm:pt modelId="{F4A9FB58-17D1-4D6E-989F-350A767EA807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1600">
              <a:solidFill>
                <a:schemeClr val="tx1"/>
              </a:solidFill>
            </a:rPr>
            <a:t>Cer: IBC-C-E-0679-2025</a:t>
          </a:r>
        </a:p>
      </dgm:t>
    </dgm:pt>
    <dgm:pt modelId="{046BC14E-3575-420E-86D9-45A675118E26}" type="parTrans" cxnId="{85616CB8-E836-4E83-935C-8DB6B1DCF2F1}">
      <dgm:prSet/>
      <dgm:spPr/>
      <dgm:t>
        <a:bodyPr/>
        <a:lstStyle/>
        <a:p>
          <a:endParaRPr lang="es-MX"/>
        </a:p>
      </dgm:t>
    </dgm:pt>
    <dgm:pt modelId="{4BCF8DDC-7C6B-4479-89D9-478EDE15C3EB}" type="sibTrans" cxnId="{85616CB8-E836-4E83-935C-8DB6B1DCF2F1}">
      <dgm:prSet/>
      <dgm:spPr/>
      <dgm:t>
        <a:bodyPr/>
        <a:lstStyle/>
        <a:p>
          <a:endParaRPr lang="es-MX"/>
        </a:p>
      </dgm:t>
    </dgm:pt>
    <dgm:pt modelId="{00B30279-BB66-4366-A419-92DF0A01BE01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1600">
              <a:solidFill>
                <a:schemeClr val="tx1"/>
              </a:solidFill>
            </a:rPr>
            <a:t>Ma: Jofra, Mo: 650 SE, ID: TEM-03</a:t>
          </a:r>
        </a:p>
      </dgm:t>
    </dgm:pt>
    <dgm:pt modelId="{C197BB03-1A8E-4BB5-9C98-E2413E5AE91B}" type="parTrans" cxnId="{EEA72CE2-121F-4316-AEDF-39E3D57CD9A4}">
      <dgm:prSet/>
      <dgm:spPr/>
      <dgm:t>
        <a:bodyPr/>
        <a:lstStyle/>
        <a:p>
          <a:endParaRPr lang="es-MX"/>
        </a:p>
      </dgm:t>
    </dgm:pt>
    <dgm:pt modelId="{DDC6FC15-DB6C-412C-BDB6-D6D461087369}" type="sibTrans" cxnId="{EEA72CE2-121F-4316-AEDF-39E3D57CD9A4}">
      <dgm:prSet/>
      <dgm:spPr/>
      <dgm:t>
        <a:bodyPr/>
        <a:lstStyle/>
        <a:p>
          <a:endParaRPr lang="es-MX"/>
        </a:p>
      </dgm:t>
    </dgm:pt>
    <dgm:pt modelId="{07F6CA29-19CC-4F82-BE6C-60F25E6B39D4}" type="pres">
      <dgm:prSet presAssocID="{CE560222-44FE-4EAE-9873-682A2BD29CD0}" presName="linearFlow" presStyleCnt="0">
        <dgm:presLayoutVars>
          <dgm:resizeHandles val="exact"/>
        </dgm:presLayoutVars>
      </dgm:prSet>
      <dgm:spPr/>
    </dgm:pt>
    <dgm:pt modelId="{65046A1D-913D-42B2-B0F6-735D4845A0D8}" type="pres">
      <dgm:prSet presAssocID="{92CCC0B2-2758-439B-A4AD-7E1C2D7E53B7}" presName="node" presStyleLbl="node1" presStyleIdx="0" presStyleCnt="4" custScaleX="126203" custLinFactNeighborX="-759" custLinFactNeighborY="25331">
        <dgm:presLayoutVars>
          <dgm:bulletEnabled val="1"/>
        </dgm:presLayoutVars>
      </dgm:prSet>
      <dgm:spPr/>
    </dgm:pt>
    <dgm:pt modelId="{D640F07E-114D-4F7C-9B3D-F8C5AF94C1AE}" type="pres">
      <dgm:prSet presAssocID="{9511B1DF-A7D0-4E1D-A8A0-7597123C6721}" presName="sibTrans" presStyleLbl="sibTrans2D1" presStyleIdx="0" presStyleCnt="3" custAng="16400" custLinFactNeighborX="27097" custLinFactNeighborY="3609"/>
      <dgm:spPr/>
    </dgm:pt>
    <dgm:pt modelId="{7EBF975C-2970-473A-B004-1ABA2EC602A2}" type="pres">
      <dgm:prSet presAssocID="{9511B1DF-A7D0-4E1D-A8A0-7597123C6721}" presName="connectorText" presStyleLbl="sibTrans2D1" presStyleIdx="0" presStyleCnt="3"/>
      <dgm:spPr/>
    </dgm:pt>
    <dgm:pt modelId="{B2A7A2BE-4AEE-4A65-A462-9B5B10FF23C3}" type="pres">
      <dgm:prSet presAssocID="{C8AF0927-FD41-4BFE-8023-8540E7C19C29}" presName="node" presStyleLbl="node1" presStyleIdx="1" presStyleCnt="4" custScaleX="126203" custLinFactNeighborX="885">
        <dgm:presLayoutVars>
          <dgm:bulletEnabled val="1"/>
        </dgm:presLayoutVars>
      </dgm:prSet>
      <dgm:spPr/>
    </dgm:pt>
    <dgm:pt modelId="{47E7C4B6-1161-4D4B-B825-AB2E9F20F308}" type="pres">
      <dgm:prSet presAssocID="{810ADA6F-0FD2-4D61-9FAB-BD1CB2719DF9}" presName="sibTrans" presStyleLbl="sibTrans2D1" presStyleIdx="1" presStyleCnt="3"/>
      <dgm:spPr/>
    </dgm:pt>
    <dgm:pt modelId="{47319E7A-F24C-4E10-9402-A70230745348}" type="pres">
      <dgm:prSet presAssocID="{810ADA6F-0FD2-4D61-9FAB-BD1CB2719DF9}" presName="connectorText" presStyleLbl="sibTrans2D1" presStyleIdx="1" presStyleCnt="3"/>
      <dgm:spPr/>
    </dgm:pt>
    <dgm:pt modelId="{888094B4-F68D-4BAA-AFC3-927D881B5F5B}" type="pres">
      <dgm:prSet presAssocID="{6A8A9433-6D53-4625-82B8-98BA2D50853D}" presName="node" presStyleLbl="node1" presStyleIdx="2" presStyleCnt="4" custScaleX="127104">
        <dgm:presLayoutVars>
          <dgm:bulletEnabled val="1"/>
        </dgm:presLayoutVars>
      </dgm:prSet>
      <dgm:spPr/>
    </dgm:pt>
    <dgm:pt modelId="{715643C9-67CB-441E-8BB3-0693ACC35C80}" type="pres">
      <dgm:prSet presAssocID="{4BAB1510-9628-4D65-8802-65172FB58530}" presName="sibTrans" presStyleLbl="sibTrans2D1" presStyleIdx="2" presStyleCnt="3"/>
      <dgm:spPr/>
    </dgm:pt>
    <dgm:pt modelId="{D34F30BE-CE71-42C8-8621-3F71D8BEF1D1}" type="pres">
      <dgm:prSet presAssocID="{4BAB1510-9628-4D65-8802-65172FB58530}" presName="connectorText" presStyleLbl="sibTrans2D1" presStyleIdx="2" presStyleCnt="3"/>
      <dgm:spPr/>
    </dgm:pt>
    <dgm:pt modelId="{09080ED7-740F-447D-81C3-F4463B592396}" type="pres">
      <dgm:prSet presAssocID="{80660E88-2456-4971-8DD8-77C8C6B2C349}" presName="node" presStyleLbl="node1" presStyleIdx="3" presStyleCnt="4" custScaleX="126203" custScaleY="55541" custLinFactNeighborX="733" custLinFactNeighborY="-2932">
        <dgm:presLayoutVars>
          <dgm:bulletEnabled val="1"/>
        </dgm:presLayoutVars>
      </dgm:prSet>
      <dgm:spPr/>
    </dgm:pt>
  </dgm:ptLst>
  <dgm:cxnLst>
    <dgm:cxn modelId="{30F3AE00-CD76-457E-A29B-D870C1B5C3C0}" srcId="{CE560222-44FE-4EAE-9873-682A2BD29CD0}" destId="{C8AF0927-FD41-4BFE-8023-8540E7C19C29}" srcOrd="1" destOrd="0" parTransId="{036F13A3-7EBA-4460-9143-4C3278839A26}" sibTransId="{810ADA6F-0FD2-4D61-9FAB-BD1CB2719DF9}"/>
    <dgm:cxn modelId="{4BD7540E-6089-454F-9166-09E91EAB3B89}" type="presOf" srcId="{3EE06EC5-6459-408B-8468-FDAC199D0CE4}" destId="{888094B4-F68D-4BAA-AFC3-927D881B5F5B}" srcOrd="0" destOrd="3" presId="urn:microsoft.com/office/officeart/2005/8/layout/process2"/>
    <dgm:cxn modelId="{1A63741C-5934-4EAD-BAD3-3407005383FA}" type="presOf" srcId="{6A8A9433-6D53-4625-82B8-98BA2D50853D}" destId="{888094B4-F68D-4BAA-AFC3-927D881B5F5B}" srcOrd="0" destOrd="0" presId="urn:microsoft.com/office/officeart/2005/8/layout/process2"/>
    <dgm:cxn modelId="{710B0425-3BBA-4089-96AD-D06F3A484BFC}" type="presOf" srcId="{92CCC0B2-2758-439B-A4AD-7E1C2D7E53B7}" destId="{65046A1D-913D-42B2-B0F6-735D4845A0D8}" srcOrd="0" destOrd="0" presId="urn:microsoft.com/office/officeart/2005/8/layout/process2"/>
    <dgm:cxn modelId="{FF2B3528-928F-4F5C-AAFC-0EA68785B3FA}" srcId="{6A8A9433-6D53-4625-82B8-98BA2D50853D}" destId="{BA0F4021-94D2-45F3-A4B5-09781308918B}" srcOrd="0" destOrd="0" parTransId="{F831C6A8-6DDE-401B-B203-84902C94AF41}" sibTransId="{275A2175-DD90-4FA2-8BC9-0AE1AF4EFF5C}"/>
    <dgm:cxn modelId="{0099302B-51AC-48B3-A34F-EEBD2D34F9E3}" srcId="{CE560222-44FE-4EAE-9873-682A2BD29CD0}" destId="{80660E88-2456-4971-8DD8-77C8C6B2C349}" srcOrd="3" destOrd="0" parTransId="{7A3F62B8-3BB7-43BB-9172-B548273C152A}" sibTransId="{A0C77EE8-51A0-4BF3-80DD-27A89D5AAD48}"/>
    <dgm:cxn modelId="{A7B38A3B-8038-4C84-B1E5-40A6BD778D07}" type="presOf" srcId="{F4A9FB58-17D1-4D6E-989F-350A767EA807}" destId="{888094B4-F68D-4BAA-AFC3-927D881B5F5B}" srcOrd="0" destOrd="4" presId="urn:microsoft.com/office/officeart/2005/8/layout/process2"/>
    <dgm:cxn modelId="{F0011669-CCE1-4807-A647-4C7759E42DBC}" type="presOf" srcId="{CE560222-44FE-4EAE-9873-682A2BD29CD0}" destId="{07F6CA29-19CC-4F82-BE6C-60F25E6B39D4}" srcOrd="0" destOrd="0" presId="urn:microsoft.com/office/officeart/2005/8/layout/process2"/>
    <dgm:cxn modelId="{AF7FF969-564D-4AB6-AC4A-CCBF998965B4}" srcId="{CE560222-44FE-4EAE-9873-682A2BD29CD0}" destId="{6A8A9433-6D53-4625-82B8-98BA2D50853D}" srcOrd="2" destOrd="0" parTransId="{6AC83EAB-3472-4FD7-BF89-509AEC59EBD3}" sibTransId="{4BAB1510-9628-4D65-8802-65172FB58530}"/>
    <dgm:cxn modelId="{A51C8270-41E5-4E13-AF0C-A4760EF4EC4B}" srcId="{CE560222-44FE-4EAE-9873-682A2BD29CD0}" destId="{92CCC0B2-2758-439B-A4AD-7E1C2D7E53B7}" srcOrd="0" destOrd="0" parTransId="{FF889F0A-B897-4539-A62B-DBCCC835E9C0}" sibTransId="{9511B1DF-A7D0-4E1D-A8A0-7597123C6721}"/>
    <dgm:cxn modelId="{7351A776-8F04-4E85-B2B1-6BF4424FCB54}" type="presOf" srcId="{80660E88-2456-4971-8DD8-77C8C6B2C349}" destId="{09080ED7-740F-447D-81C3-F4463B592396}" srcOrd="0" destOrd="0" presId="urn:microsoft.com/office/officeart/2005/8/layout/process2"/>
    <dgm:cxn modelId="{B0BE9F85-BF8C-4806-8F08-BB092C30287E}" type="presOf" srcId="{9511B1DF-A7D0-4E1D-A8A0-7597123C6721}" destId="{D640F07E-114D-4F7C-9B3D-F8C5AF94C1AE}" srcOrd="0" destOrd="0" presId="urn:microsoft.com/office/officeart/2005/8/layout/process2"/>
    <dgm:cxn modelId="{6E3BAC98-391C-48B8-A722-F6F30C468B97}" srcId="{6A8A9433-6D53-4625-82B8-98BA2D50853D}" destId="{3EE06EC5-6459-408B-8468-FDAC199D0CE4}" srcOrd="2" destOrd="0" parTransId="{D9550F3C-089C-4ADB-8646-49ABF99D1FD5}" sibTransId="{3A86B4F0-5578-4349-B55F-68591C4E9231}"/>
    <dgm:cxn modelId="{17C404A1-D870-43B2-BF11-8BAAAD4EB1B7}" type="presOf" srcId="{C8AF0927-FD41-4BFE-8023-8540E7C19C29}" destId="{B2A7A2BE-4AEE-4A65-A462-9B5B10FF23C3}" srcOrd="0" destOrd="0" presId="urn:microsoft.com/office/officeart/2005/8/layout/process2"/>
    <dgm:cxn modelId="{4382B2A5-E421-487D-A213-5C32E7CD7A59}" type="presOf" srcId="{4BAB1510-9628-4D65-8802-65172FB58530}" destId="{715643C9-67CB-441E-8BB3-0693ACC35C80}" srcOrd="0" destOrd="0" presId="urn:microsoft.com/office/officeart/2005/8/layout/process2"/>
    <dgm:cxn modelId="{8F5145B2-F543-4C07-9F73-48FB52F75B5C}" type="presOf" srcId="{00B30279-BB66-4366-A419-92DF0A01BE01}" destId="{888094B4-F68D-4BAA-AFC3-927D881B5F5B}" srcOrd="0" destOrd="2" presId="urn:microsoft.com/office/officeart/2005/8/layout/process2"/>
    <dgm:cxn modelId="{85616CB8-E836-4E83-935C-8DB6B1DCF2F1}" srcId="{6A8A9433-6D53-4625-82B8-98BA2D50853D}" destId="{F4A9FB58-17D1-4D6E-989F-350A767EA807}" srcOrd="3" destOrd="0" parTransId="{046BC14E-3575-420E-86D9-45A675118E26}" sibTransId="{4BCF8DDC-7C6B-4479-89D9-478EDE15C3EB}"/>
    <dgm:cxn modelId="{FDE6F2CD-6F79-4CC8-9F35-2F1B043EDEED}" type="presOf" srcId="{810ADA6F-0FD2-4D61-9FAB-BD1CB2719DF9}" destId="{47319E7A-F24C-4E10-9402-A70230745348}" srcOrd="1" destOrd="0" presId="urn:microsoft.com/office/officeart/2005/8/layout/process2"/>
    <dgm:cxn modelId="{9217B7DB-D3A7-437E-BFDD-825929BE5C87}" type="presOf" srcId="{810ADA6F-0FD2-4D61-9FAB-BD1CB2719DF9}" destId="{47E7C4B6-1161-4D4B-B825-AB2E9F20F308}" srcOrd="0" destOrd="0" presId="urn:microsoft.com/office/officeart/2005/8/layout/process2"/>
    <dgm:cxn modelId="{238CECDF-3567-4546-A63B-D44C3C045BA2}" type="presOf" srcId="{9511B1DF-A7D0-4E1D-A8A0-7597123C6721}" destId="{7EBF975C-2970-473A-B004-1ABA2EC602A2}" srcOrd="1" destOrd="0" presId="urn:microsoft.com/office/officeart/2005/8/layout/process2"/>
    <dgm:cxn modelId="{EEA72CE2-121F-4316-AEDF-39E3D57CD9A4}" srcId="{6A8A9433-6D53-4625-82B8-98BA2D50853D}" destId="{00B30279-BB66-4366-A419-92DF0A01BE01}" srcOrd="1" destOrd="0" parTransId="{C197BB03-1A8E-4BB5-9C98-E2413E5AE91B}" sibTransId="{DDC6FC15-DB6C-412C-BDB6-D6D461087369}"/>
    <dgm:cxn modelId="{659252E4-9D2B-45C2-9B70-F64436B0AF86}" type="presOf" srcId="{BA0F4021-94D2-45F3-A4B5-09781308918B}" destId="{888094B4-F68D-4BAA-AFC3-927D881B5F5B}" srcOrd="0" destOrd="1" presId="urn:microsoft.com/office/officeart/2005/8/layout/process2"/>
    <dgm:cxn modelId="{2FF1B8F0-47B7-43DC-9F03-CD89AF90A9FA}" type="presOf" srcId="{4BAB1510-9628-4D65-8802-65172FB58530}" destId="{D34F30BE-CE71-42C8-8621-3F71D8BEF1D1}" srcOrd="1" destOrd="0" presId="urn:microsoft.com/office/officeart/2005/8/layout/process2"/>
    <dgm:cxn modelId="{8BF645A2-17C2-4005-B810-3AB5AC66B747}" type="presParOf" srcId="{07F6CA29-19CC-4F82-BE6C-60F25E6B39D4}" destId="{65046A1D-913D-42B2-B0F6-735D4845A0D8}" srcOrd="0" destOrd="0" presId="urn:microsoft.com/office/officeart/2005/8/layout/process2"/>
    <dgm:cxn modelId="{2C4673F7-6BCE-4910-9BD8-0AF2B5415C6D}" type="presParOf" srcId="{07F6CA29-19CC-4F82-BE6C-60F25E6B39D4}" destId="{D640F07E-114D-4F7C-9B3D-F8C5AF94C1AE}" srcOrd="1" destOrd="0" presId="urn:microsoft.com/office/officeart/2005/8/layout/process2"/>
    <dgm:cxn modelId="{C0A7B8BA-EEC9-4597-9FC7-323749756D8B}" type="presParOf" srcId="{D640F07E-114D-4F7C-9B3D-F8C5AF94C1AE}" destId="{7EBF975C-2970-473A-B004-1ABA2EC602A2}" srcOrd="0" destOrd="0" presId="urn:microsoft.com/office/officeart/2005/8/layout/process2"/>
    <dgm:cxn modelId="{5C351BA4-274C-4085-8680-06332107E980}" type="presParOf" srcId="{07F6CA29-19CC-4F82-BE6C-60F25E6B39D4}" destId="{B2A7A2BE-4AEE-4A65-A462-9B5B10FF23C3}" srcOrd="2" destOrd="0" presId="urn:microsoft.com/office/officeart/2005/8/layout/process2"/>
    <dgm:cxn modelId="{7A17A5DB-B7DA-4383-B171-3485B87166D2}" type="presParOf" srcId="{07F6CA29-19CC-4F82-BE6C-60F25E6B39D4}" destId="{47E7C4B6-1161-4D4B-B825-AB2E9F20F308}" srcOrd="3" destOrd="0" presId="urn:microsoft.com/office/officeart/2005/8/layout/process2"/>
    <dgm:cxn modelId="{A8AA8C60-0586-4711-9291-A5FD99765719}" type="presParOf" srcId="{47E7C4B6-1161-4D4B-B825-AB2E9F20F308}" destId="{47319E7A-F24C-4E10-9402-A70230745348}" srcOrd="0" destOrd="0" presId="urn:microsoft.com/office/officeart/2005/8/layout/process2"/>
    <dgm:cxn modelId="{8948AD93-1023-4866-AC80-97E2886AA9C9}" type="presParOf" srcId="{07F6CA29-19CC-4F82-BE6C-60F25E6B39D4}" destId="{888094B4-F68D-4BAA-AFC3-927D881B5F5B}" srcOrd="4" destOrd="0" presId="urn:microsoft.com/office/officeart/2005/8/layout/process2"/>
    <dgm:cxn modelId="{C0785C0E-6721-4754-A434-8460CCF05B65}" type="presParOf" srcId="{07F6CA29-19CC-4F82-BE6C-60F25E6B39D4}" destId="{715643C9-67CB-441E-8BB3-0693ACC35C80}" srcOrd="5" destOrd="0" presId="urn:microsoft.com/office/officeart/2005/8/layout/process2"/>
    <dgm:cxn modelId="{4036D7F1-2454-4DEC-8E7F-CD475C624D9F}" type="presParOf" srcId="{715643C9-67CB-441E-8BB3-0693ACC35C80}" destId="{D34F30BE-CE71-42C8-8621-3F71D8BEF1D1}" srcOrd="0" destOrd="0" presId="urn:microsoft.com/office/officeart/2005/8/layout/process2"/>
    <dgm:cxn modelId="{34A47EEA-F7D4-423C-BE6D-7D4180D2F8F3}" type="presParOf" srcId="{07F6CA29-19CC-4F82-BE6C-60F25E6B39D4}" destId="{09080ED7-740F-447D-81C3-F4463B592396}" srcOrd="6" destOrd="0" presId="urn:microsoft.com/office/officeart/2005/8/layout/process2"/>
  </dgm:cxnLst>
  <dgm:bg>
    <a:noFill/>
    <a:effectLst>
      <a:glow rad="101600">
        <a:schemeClr val="accent5">
          <a:satMod val="175000"/>
          <a:alpha val="40000"/>
        </a:schemeClr>
      </a:glow>
    </a:effectLst>
  </dgm:bg>
  <dgm:whole/>
  <dgm:extLst>
    <a:ext uri="http://schemas.microsoft.com/office/drawing/2008/diagram">
      <dsp:dataModelExt xmlns:dsp="http://schemas.microsoft.com/office/drawing/2008/diagram" relId="rId13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5046A1D-913D-42B2-B0F6-735D4845A0D8}">
      <dsp:nvSpPr>
        <dsp:cNvPr id="0" name=""/>
        <dsp:cNvSpPr/>
      </dsp:nvSpPr>
      <dsp:spPr>
        <a:xfrm>
          <a:off x="1735574" y="249106"/>
          <a:ext cx="5524564" cy="1918914"/>
        </a:xfrm>
        <a:prstGeom prst="roundRect">
          <a:avLst>
            <a:gd name="adj" fmla="val 10000"/>
          </a:avLst>
        </a:prstGeom>
        <a:solidFill>
          <a:schemeClr val="bg1">
            <a:lumMod val="85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3820" tIns="83820" rIns="83820" bIns="8382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b="1" kern="1200">
              <a:solidFill>
                <a:schemeClr val="tx1"/>
              </a:solidFill>
            </a:rPr>
            <a:t>Sistema Internacional de Unidades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b="1" kern="1200">
              <a:solidFill>
                <a:schemeClr val="tx1"/>
              </a:solidFill>
            </a:rPr>
            <a:t> (SI)</a:t>
          </a:r>
        </a:p>
      </dsp:txBody>
      <dsp:txXfrm>
        <a:off x="1791777" y="305309"/>
        <a:ext cx="5412158" cy="1806508"/>
      </dsp:txXfrm>
    </dsp:sp>
    <dsp:sp modelId="{D640F07E-114D-4F7C-9B3D-F8C5AF94C1AE}">
      <dsp:nvSpPr>
        <dsp:cNvPr id="0" name=""/>
        <dsp:cNvSpPr/>
      </dsp:nvSpPr>
      <dsp:spPr>
        <a:xfrm rot="5322544">
          <a:off x="4410733" y="2125637"/>
          <a:ext cx="537513" cy="863511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3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155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2600" kern="1200"/>
        </a:p>
      </dsp:txBody>
      <dsp:txXfrm rot="-5400000">
        <a:off x="4418620" y="2288656"/>
        <a:ext cx="518107" cy="376259"/>
      </dsp:txXfrm>
    </dsp:sp>
    <dsp:sp modelId="{B2A7A2BE-4AEE-4A65-A462-9B5B10FF23C3}">
      <dsp:nvSpPr>
        <dsp:cNvPr id="0" name=""/>
        <dsp:cNvSpPr/>
      </dsp:nvSpPr>
      <dsp:spPr>
        <a:xfrm>
          <a:off x="1807541" y="2884437"/>
          <a:ext cx="5524564" cy="1918914"/>
        </a:xfrm>
        <a:prstGeom prst="roundRect">
          <a:avLst>
            <a:gd name="adj" fmla="val 10000"/>
          </a:avLst>
        </a:prstGeom>
        <a:solidFill>
          <a:schemeClr val="bg1">
            <a:lumMod val="75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3820" tIns="83820" rIns="83820" bIns="8382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b="1" kern="1200">
              <a:solidFill>
                <a:schemeClr val="tx1"/>
              </a:solidFill>
            </a:rPr>
            <a:t>IBC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Calibrador de procesos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Identificacion: IBC-011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Certificado: CMX24-1668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Marca: Fluke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Modelo: 754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</a:rPr>
            <a:t>Serie: 2063003</a:t>
          </a:r>
        </a:p>
      </dsp:txBody>
      <dsp:txXfrm>
        <a:off x="1863744" y="2940640"/>
        <a:ext cx="5412158" cy="1806508"/>
      </dsp:txXfrm>
    </dsp:sp>
    <dsp:sp modelId="{47E7C4B6-1161-4D4B-B825-AB2E9F20F308}">
      <dsp:nvSpPr>
        <dsp:cNvPr id="0" name=""/>
        <dsp:cNvSpPr/>
      </dsp:nvSpPr>
      <dsp:spPr>
        <a:xfrm rot="5446267">
          <a:off x="4190624" y="4851324"/>
          <a:ext cx="719657" cy="863511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3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3600" kern="1200"/>
        </a:p>
      </dsp:txBody>
      <dsp:txXfrm rot="-5400000">
        <a:off x="4292852" y="4923260"/>
        <a:ext cx="518107" cy="503760"/>
      </dsp:txXfrm>
    </dsp:sp>
    <dsp:sp modelId="{888094B4-F68D-4BAA-AFC3-927D881B5F5B}">
      <dsp:nvSpPr>
        <dsp:cNvPr id="0" name=""/>
        <dsp:cNvSpPr/>
      </dsp:nvSpPr>
      <dsp:spPr>
        <a:xfrm>
          <a:off x="1749079" y="5762809"/>
          <a:ext cx="5564006" cy="1918914"/>
        </a:xfrm>
        <a:prstGeom prst="roundRect">
          <a:avLst>
            <a:gd name="adj" fmla="val 10000"/>
          </a:avLst>
        </a:prstGeom>
        <a:solidFill>
          <a:schemeClr val="bg1">
            <a:lumMod val="75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0" tIns="76200" rIns="76200" bIns="762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a-ES" sz="2000" b="1" kern="1200"/>
            <a:t>Metrologia y Servicios MYC S.A. de C.V. </a:t>
          </a:r>
        </a:p>
        <a:p>
          <a:pPr marL="171450" lvl="1" indent="-171450" algn="ctr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1600" kern="1200">
              <a:solidFill>
                <a:schemeClr val="tx1"/>
              </a:solidFill>
            </a:rPr>
            <a:t>Medidor de temperatura con sensor tipo RTD</a:t>
          </a:r>
        </a:p>
        <a:p>
          <a:pPr marL="171450" lvl="1" indent="-171450" algn="ctr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1600" kern="1200">
              <a:solidFill>
                <a:schemeClr val="tx1"/>
              </a:solidFill>
            </a:rPr>
            <a:t>Ma: Jofra, Mo: 650 SE, ID: TEM-03</a:t>
          </a:r>
        </a:p>
        <a:p>
          <a:pPr marL="171450" lvl="1" indent="-171450" algn="ctr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1600" kern="1200">
              <a:solidFill>
                <a:schemeClr val="tx1"/>
              </a:solidFill>
            </a:rPr>
            <a:t>U</a:t>
          </a:r>
          <a:r>
            <a:rPr lang="es-MX" sz="1200" kern="1200">
              <a:solidFill>
                <a:schemeClr val="tx1"/>
              </a:solidFill>
            </a:rPr>
            <a:t>E</a:t>
          </a:r>
          <a:r>
            <a:rPr lang="es-MX" sz="1600" kern="1200">
              <a:solidFill>
                <a:schemeClr val="tx1"/>
              </a:solidFill>
            </a:rPr>
            <a:t>: 0.11 °C</a:t>
          </a:r>
        </a:p>
        <a:p>
          <a:pPr marL="171450" lvl="1" indent="-171450" algn="ctr" defTabSz="7112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1600" kern="1200">
              <a:solidFill>
                <a:schemeClr val="tx1"/>
              </a:solidFill>
            </a:rPr>
            <a:t>Cer: IBC-C-E-0679-2025</a:t>
          </a:r>
        </a:p>
      </dsp:txBody>
      <dsp:txXfrm>
        <a:off x="1805282" y="5819012"/>
        <a:ext cx="5451600" cy="1806508"/>
      </dsp:txXfrm>
    </dsp:sp>
    <dsp:sp modelId="{715643C9-67CB-441E-8BB3-0693ACC35C80}">
      <dsp:nvSpPr>
        <dsp:cNvPr id="0" name=""/>
        <dsp:cNvSpPr/>
      </dsp:nvSpPr>
      <dsp:spPr>
        <a:xfrm rot="5354490">
          <a:off x="4200672" y="7715630"/>
          <a:ext cx="698555" cy="863511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3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555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3500" kern="1200"/>
        </a:p>
      </dsp:txBody>
      <dsp:txXfrm rot="-5400000">
        <a:off x="4289509" y="7798117"/>
        <a:ext cx="518107" cy="488989"/>
      </dsp:txXfrm>
    </dsp:sp>
    <dsp:sp modelId="{09080ED7-740F-447D-81C3-F4463B592396}">
      <dsp:nvSpPr>
        <dsp:cNvPr id="0" name=""/>
        <dsp:cNvSpPr/>
      </dsp:nvSpPr>
      <dsp:spPr>
        <a:xfrm>
          <a:off x="1800887" y="8613048"/>
          <a:ext cx="5524564" cy="1065784"/>
        </a:xfrm>
        <a:prstGeom prst="roundRect">
          <a:avLst>
            <a:gd name="adj" fmla="val 10000"/>
          </a:avLst>
        </a:prstGeom>
        <a:solidFill>
          <a:schemeClr val="bg2">
            <a:lumMod val="50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3820" tIns="83820" rIns="83820" bIns="8382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kern="1200">
              <a:solidFill>
                <a:schemeClr val="bg1"/>
              </a:solidFill>
            </a:rPr>
            <a:t>Usuario final</a:t>
          </a:r>
        </a:p>
      </dsp:txBody>
      <dsp:txXfrm>
        <a:off x="1832103" y="8644264"/>
        <a:ext cx="5462132" cy="100335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2">
  <dgm:title val=""/>
  <dgm:desc val=""/>
  <dgm:catLst>
    <dgm:cat type="process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resizeHandles val="exact"/>
    </dgm:varLst>
    <dgm:alg type="lin">
      <dgm:param type="linDir" val="fromT"/>
    </dgm:alg>
    <dgm:shape xmlns:r="http://schemas.openxmlformats.org/officeDocument/2006/relationships" r:blip="">
      <dgm:adjLst/>
    </dgm:shape>
    <dgm:presOf/>
    <dgm:constrLst>
      <dgm:constr type="h" for="ch" ptType="node" refType="h"/>
      <dgm:constr type="h" for="ch" ptType="sibTrans" refType="h" refFor="ch" refPtType="node" fact="0.5"/>
      <dgm:constr type="w" for="ch" ptType="node" op="equ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choose name="Name0">
          <dgm:if name="Name1" axis="root des" ptType="all node" func="maxDepth" op="gt" val="1">
            <dgm:alg type="tx">
              <dgm:param type="parTxLTRAlign" val="l"/>
              <dgm:param type="parTxRTLAlign" val="r"/>
              <dgm:param type="txAnchorVertCh" val="mid"/>
            </dgm:alg>
          </dgm:if>
          <dgm:else name="Name2">
            <dgm:alg type="tx"/>
          </dgm:else>
        </dgm:choose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w" refType="h" fact="1.8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w" val="NaN" fact="4" max="NaN"/>
          <dgm:rule type="primFontSz" val="5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w" refType="h" fact="0.9"/>
            <dgm:constr type="connDist"/>
            <dgm:constr type="wArH" refType="w" fact="0.5"/>
            <dgm:constr type="hArH" refType="w"/>
            <dgm:constr type="stemThick" refType="w" fact="0.6"/>
            <dgm:constr type="begPad" refType="connDist" fact="0.125"/>
            <dgm:constr type="endPad" refType="connDist" fact="0.125"/>
          </dgm:constrLst>
          <dgm:ruleLst/>
          <dgm:layoutNode name="connectorText">
            <dgm:alg type="tx">
              <dgm:param type="autoTxRot" val="upr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13" Type="http://schemas.microsoft.com/office/2007/relationships/diagramDrawing" Target="../diagrams/drawing1.xml"/><Relationship Id="rId3" Type="http://schemas.openxmlformats.org/officeDocument/2006/relationships/image" Target="../media/image1.png"/><Relationship Id="rId7" Type="http://schemas.openxmlformats.org/officeDocument/2006/relationships/image" Target="../media/image4.png"/><Relationship Id="rId12" Type="http://schemas.openxmlformats.org/officeDocument/2006/relationships/diagramColors" Target="../diagrams/colors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07/relationships/hdphoto" Target="../media/hdphoto1.wdp"/><Relationship Id="rId11" Type="http://schemas.openxmlformats.org/officeDocument/2006/relationships/diagramQuickStyle" Target="../diagrams/quickStyle1.xml"/><Relationship Id="rId5" Type="http://schemas.openxmlformats.org/officeDocument/2006/relationships/image" Target="../media/image3.png"/><Relationship Id="rId10" Type="http://schemas.openxmlformats.org/officeDocument/2006/relationships/diagramLayout" Target="../diagrams/layout1.xml"/><Relationship Id="rId4" Type="http://schemas.openxmlformats.org/officeDocument/2006/relationships/image" Target="../media/image2.gif"/><Relationship Id="rId9" Type="http://schemas.openxmlformats.org/officeDocument/2006/relationships/diagramData" Target="../diagrams/data1.xml"/><Relationship Id="rId1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7821</xdr:colOff>
      <xdr:row>88</xdr:row>
      <xdr:rowOff>176436</xdr:rowOff>
    </xdr:from>
    <xdr:to>
      <xdr:col>5</xdr:col>
      <xdr:colOff>9524</xdr:colOff>
      <xdr:row>102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371475</xdr:colOff>
      <xdr:row>89</xdr:row>
      <xdr:rowOff>9525</xdr:rowOff>
    </xdr:from>
    <xdr:to>
      <xdr:col>9</xdr:col>
      <xdr:colOff>1171574</xdr:colOff>
      <xdr:row>102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590550</xdr:colOff>
      <xdr:row>1</xdr:row>
      <xdr:rowOff>9525</xdr:rowOff>
    </xdr:from>
    <xdr:to>
      <xdr:col>9</xdr:col>
      <xdr:colOff>1227859</xdr:colOff>
      <xdr:row>5</xdr:row>
      <xdr:rowOff>63211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7136538" y="197673"/>
          <a:ext cx="1538852" cy="806279"/>
          <a:chOff x="447675" y="16430625"/>
          <a:chExt cx="1083603" cy="581025"/>
        </a:xfrm>
      </xdr:grpSpPr>
      <xdr:pic>
        <xdr:nvPicPr>
          <xdr:cNvPr id="27" name="Picture 2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7675" y="16500924"/>
            <a:ext cx="499087" cy="50428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pic>
        <xdr:nvPicPr>
          <xdr:cNvPr id="28" name="Picture 2" descr="C:\Users\apirela\Desktop\PJLA Calibration.gif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90600" y="16430625"/>
            <a:ext cx="540678" cy="5810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7</xdr:col>
      <xdr:colOff>361950</xdr:colOff>
      <xdr:row>61</xdr:row>
      <xdr:rowOff>114300</xdr:rowOff>
    </xdr:from>
    <xdr:to>
      <xdr:col>9</xdr:col>
      <xdr:colOff>247650</xdr:colOff>
      <xdr:row>65</xdr:row>
      <xdr:rowOff>0</xdr:rowOff>
    </xdr:to>
    <xdr:pic>
      <xdr:nvPicPr>
        <xdr:cNvPr id="23" name="Picture 28">
          <a:extLst>
            <a:ext uri="{FF2B5EF4-FFF2-40B4-BE49-F238E27FC236}">
              <a16:creationId xmlns:a16="http://schemas.microsoft.com/office/drawing/2014/main" id="{791B2BC6-E26C-4147-B842-84CDFBA187EB}"/>
            </a:ext>
          </a:extLst>
        </xdr:cNvPr>
        <xdr:cNvPicPr/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3678"/>
                  </a14:imgEffect>
                  <a14:imgEffect>
                    <a14:saturation sat="40000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10896600"/>
          <a:ext cx="1447800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1133475</xdr:colOff>
      <xdr:row>60</xdr:row>
      <xdr:rowOff>85725</xdr:rowOff>
    </xdr:from>
    <xdr:to>
      <xdr:col>3</xdr:col>
      <xdr:colOff>122555</xdr:colOff>
      <xdr:row>64</xdr:row>
      <xdr:rowOff>41275</xdr:rowOff>
    </xdr:to>
    <xdr:pic>
      <xdr:nvPicPr>
        <xdr:cNvPr id="24" name="33 Imagen">
          <a:extLst>
            <a:ext uri="{FF2B5EF4-FFF2-40B4-BE49-F238E27FC236}">
              <a16:creationId xmlns:a16="http://schemas.microsoft.com/office/drawing/2014/main" id="{865C6D2E-20A2-4502-AB76-5FF2F6D2AFCC}"/>
            </a:ext>
          </a:extLst>
        </xdr:cNvPr>
        <xdr:cNvPicPr/>
      </xdr:nvPicPr>
      <xdr:blipFill>
        <a:blip xmlns:r="http://schemas.openxmlformats.org/officeDocument/2006/relationships" r:embed="rId7">
          <a:duotone>
            <a:schemeClr val="accent5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>
                      <a14:backgroundMark x1="19101" y1="36047" x2="19101" y2="36047"/>
                      <a14:backgroundMark x1="32022" y1="24419" x2="32022" y2="24419"/>
                      <a14:backgroundMark x1="58427" y1="24419" x2="58427" y2="24419"/>
                      <a14:backgroundMark x1="25843" y1="52326" x2="25843" y2="52326"/>
                      <a14:backgroundMark x1="53371" y1="52326" x2="53371" y2="52326"/>
                      <a14:backgroundMark x1="37079" y1="60465" x2="37079" y2="60465"/>
                      <a14:backgroundMark x1="60674" y1="73256" x2="60674" y2="73256"/>
                      <a14:backgroundMark x1="46067" y1="77907" x2="46067" y2="77907"/>
                      <a14:backgroundMark x1="28652" y1="95349" x2="28652" y2="95349"/>
                      <a14:backgroundMark x1="71348" y1="80233" x2="71348" y2="80233"/>
                      <a14:backgroundMark x1="85393" y1="67442" x2="85393" y2="67442"/>
                      <a14:backgroundMark x1="82022" y1="29070" x2="82022" y2="29070"/>
                      <a14:backgroundMark x1="95506" y1="25581" x2="95506" y2="25581"/>
                      <a14:backgroundMark x1="16854" y1="22093" x2="16854" y2="22093"/>
                    </a14:backgroundRemoval>
                  </a14:imgEffect>
                  <a14:imgEffect>
                    <a14:artisticPencilGrayscale/>
                  </a14:imgEffect>
                  <a14:imgEffect>
                    <a14:saturation sat="40000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-1373"/>
        <a:stretch>
          <a:fillRect/>
        </a:stretch>
      </xdr:blipFill>
      <xdr:spPr bwMode="auto">
        <a:xfrm>
          <a:off x="1533525" y="10744200"/>
          <a:ext cx="1036955" cy="698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11</xdr:col>
      <xdr:colOff>15375</xdr:colOff>
      <xdr:row>184</xdr:row>
      <xdr:rowOff>117475</xdr:rowOff>
    </xdr:to>
    <xdr:graphicFrame macro="">
      <xdr:nvGraphicFramePr>
        <xdr:cNvPr id="25" name="Diagram 8">
          <a:extLst>
            <a:ext uri="{FF2B5EF4-FFF2-40B4-BE49-F238E27FC236}">
              <a16:creationId xmlns:a16="http://schemas.microsoft.com/office/drawing/2014/main" id="{A564D5E6-992B-4A55-9196-6F926F5D0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9" r:lo="rId10" r:qs="rId11" r:cs="rId12"/>
        </a:graphicData>
      </a:graphic>
    </xdr:graphicFrame>
    <xdr:clientData/>
  </xdr:twoCellAnchor>
  <xdr:twoCellAnchor editAs="oneCell">
    <xdr:from>
      <xdr:col>0</xdr:col>
      <xdr:colOff>247650</xdr:colOff>
      <xdr:row>1</xdr:row>
      <xdr:rowOff>47625</xdr:rowOff>
    </xdr:from>
    <xdr:to>
      <xdr:col>1</xdr:col>
      <xdr:colOff>1051614</xdr:colOff>
      <xdr:row>6</xdr:row>
      <xdr:rowOff>85725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719D96A-F1F4-49C8-85FB-8C80CDF5D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125"/>
          <a:ext cx="1204014" cy="10572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1204014</xdr:colOff>
      <xdr:row>72</xdr:row>
      <xdr:rowOff>133350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4C1CB572-0FED-4548-927D-AF77C0096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2153900"/>
          <a:ext cx="1204014" cy="1057275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127</xdr:row>
      <xdr:rowOff>85725</xdr:rowOff>
    </xdr:from>
    <xdr:to>
      <xdr:col>1</xdr:col>
      <xdr:colOff>1070664</xdr:colOff>
      <xdr:row>132</xdr:row>
      <xdr:rowOff>133351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B7A00B0-F4BE-47CC-84C6-29CFB130C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4098250"/>
          <a:ext cx="1204014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2"/>
  <sheetViews>
    <sheetView tabSelected="1" view="pageBreakPreview" zoomScale="162" zoomScaleNormal="70" zoomScaleSheetLayoutView="100" workbookViewId="0">
      <selection activeCell="Q104" sqref="Q104"/>
    </sheetView>
  </sheetViews>
  <sheetFormatPr baseColWidth="10" defaultColWidth="9.1640625" defaultRowHeight="15" x14ac:dyDescent="0.2"/>
  <cols>
    <col min="1" max="1" width="6" customWidth="1"/>
    <col min="2" max="2" width="19.33203125" customWidth="1"/>
    <col min="3" max="3" width="11.5" customWidth="1"/>
    <col min="4" max="4" width="7.5" customWidth="1"/>
    <col min="5" max="5" width="13.33203125" customWidth="1"/>
    <col min="6" max="7" width="8.33203125" customWidth="1"/>
    <col min="8" max="8" width="11.5" customWidth="1"/>
    <col min="9" max="9" width="11.83203125" customWidth="1"/>
    <col min="10" max="10" width="19.1640625" customWidth="1"/>
    <col min="11" max="11" width="1.83203125" customWidth="1"/>
    <col min="12" max="12" width="13" bestFit="1" customWidth="1"/>
    <col min="13" max="13" width="11.33203125" customWidth="1"/>
    <col min="14" max="14" width="13.5" customWidth="1"/>
    <col min="15" max="17" width="13" bestFit="1" customWidth="1"/>
    <col min="18" max="18" width="14.6640625" bestFit="1" customWidth="1"/>
    <col min="19" max="19" width="11.1640625" bestFit="1" customWidth="1"/>
    <col min="21" max="22" width="9.33203125" bestFit="1" customWidth="1"/>
    <col min="23" max="23" width="11.6640625" bestFit="1" customWidth="1"/>
    <col min="24" max="24" width="9.5" bestFit="1" customWidth="1"/>
  </cols>
  <sheetData>
    <row r="1" spans="1:17" ht="15" customHeight="1" thickTop="1" x14ac:dyDescent="0.2">
      <c r="A1" s="6"/>
      <c r="B1" s="7"/>
      <c r="C1" s="7"/>
      <c r="D1" s="7"/>
      <c r="E1" s="7"/>
      <c r="F1" s="7"/>
      <c r="G1" s="7"/>
      <c r="H1" s="7"/>
      <c r="I1" s="7"/>
      <c r="J1" s="7"/>
      <c r="K1" s="8"/>
    </row>
    <row r="2" spans="1:17" x14ac:dyDescent="0.2">
      <c r="A2" s="9"/>
      <c r="B2" s="62"/>
      <c r="C2" s="162" t="s">
        <v>175</v>
      </c>
      <c r="D2" s="162"/>
      <c r="E2" s="162"/>
      <c r="F2" s="162"/>
      <c r="G2" s="162"/>
      <c r="H2" s="162"/>
      <c r="I2" s="162"/>
      <c r="J2" s="10"/>
      <c r="K2" s="11"/>
    </row>
    <row r="3" spans="1:17" x14ac:dyDescent="0.2">
      <c r="A3" s="9"/>
      <c r="B3" s="62"/>
      <c r="C3" s="163" t="s">
        <v>176</v>
      </c>
      <c r="D3" s="163"/>
      <c r="E3" s="163"/>
      <c r="F3" s="163"/>
      <c r="G3" s="163"/>
      <c r="H3" s="163"/>
      <c r="I3" s="163"/>
      <c r="J3" s="12"/>
      <c r="K3" s="11"/>
    </row>
    <row r="4" spans="1:17" ht="15" customHeight="1" x14ac:dyDescent="0.2">
      <c r="A4" s="9"/>
      <c r="B4" s="62"/>
      <c r="C4" s="161" t="s">
        <v>177</v>
      </c>
      <c r="D4" s="161"/>
      <c r="E4" s="161"/>
      <c r="F4" s="161"/>
      <c r="G4" s="161"/>
      <c r="H4" s="161"/>
      <c r="I4" s="161"/>
      <c r="J4" s="13"/>
      <c r="K4" s="14"/>
      <c r="L4" s="15"/>
    </row>
    <row r="5" spans="1:17" ht="15" customHeight="1" x14ac:dyDescent="0.25">
      <c r="A5" s="9"/>
      <c r="B5" s="62"/>
      <c r="D5" s="62"/>
      <c r="E5" s="106"/>
      <c r="F5" s="106"/>
      <c r="G5" s="106"/>
      <c r="H5" s="106"/>
      <c r="I5" s="106"/>
      <c r="J5" s="106"/>
      <c r="K5" s="16"/>
    </row>
    <row r="6" spans="1:17" ht="20.25" customHeight="1" x14ac:dyDescent="0.25">
      <c r="A6" s="9"/>
      <c r="B6" s="106"/>
      <c r="C6" s="211" t="s">
        <v>56</v>
      </c>
      <c r="D6" s="211"/>
      <c r="E6" s="211"/>
      <c r="F6" s="211"/>
      <c r="G6" s="211"/>
      <c r="H6" s="211"/>
      <c r="I6" s="211"/>
      <c r="J6" s="17"/>
      <c r="K6" s="18"/>
    </row>
    <row r="7" spans="1:17" ht="13.5" customHeight="1" x14ac:dyDescent="0.25">
      <c r="A7" s="9"/>
      <c r="B7" s="62"/>
      <c r="C7" s="19"/>
      <c r="D7" s="19" t="s">
        <v>57</v>
      </c>
      <c r="E7" s="19"/>
      <c r="F7" s="19"/>
      <c r="G7" s="19"/>
      <c r="H7" s="17"/>
      <c r="I7" s="212" t="s">
        <v>58</v>
      </c>
      <c r="J7" s="212"/>
      <c r="K7" s="11"/>
    </row>
    <row r="8" spans="1:17" x14ac:dyDescent="0.2">
      <c r="A8" s="9"/>
      <c r="B8" s="62"/>
      <c r="C8" s="20"/>
      <c r="D8" s="20"/>
      <c r="E8" s="20"/>
      <c r="F8" s="20"/>
      <c r="G8" s="20"/>
      <c r="H8" s="20"/>
      <c r="I8" s="213" t="s">
        <v>174</v>
      </c>
      <c r="J8" s="213"/>
      <c r="K8" s="11"/>
    </row>
    <row r="9" spans="1:17" ht="16" thickBot="1" x14ac:dyDescent="0.25">
      <c r="A9" s="9"/>
      <c r="K9" s="11"/>
    </row>
    <row r="10" spans="1:17" ht="18" thickBot="1" x14ac:dyDescent="0.3">
      <c r="A10" s="9"/>
      <c r="B10" s="214" t="s">
        <v>21</v>
      </c>
      <c r="C10" s="214"/>
      <c r="D10" s="102">
        <v>7002</v>
      </c>
      <c r="H10" s="99" t="s">
        <v>10</v>
      </c>
      <c r="I10" s="241" t="s">
        <v>182</v>
      </c>
      <c r="J10" s="241"/>
      <c r="K10" s="11"/>
      <c r="M10" s="113" t="s">
        <v>130</v>
      </c>
    </row>
    <row r="11" spans="1:17" ht="16" thickBot="1" x14ac:dyDescent="0.25">
      <c r="A11" s="9"/>
      <c r="B11" s="21"/>
      <c r="C11" s="21" t="s">
        <v>103</v>
      </c>
      <c r="D11" s="21"/>
      <c r="E11" s="21"/>
      <c r="F11" s="21"/>
      <c r="G11" s="21"/>
      <c r="H11" s="21"/>
      <c r="I11" s="107" t="s">
        <v>23</v>
      </c>
      <c r="J11" s="21"/>
      <c r="K11" s="11"/>
      <c r="M11" s="113">
        <v>996</v>
      </c>
      <c r="N11" s="153" t="s">
        <v>131</v>
      </c>
      <c r="O11" s="154"/>
      <c r="P11" s="154"/>
      <c r="Q11" s="155"/>
    </row>
    <row r="12" spans="1:17" ht="20" thickTop="1" x14ac:dyDescent="0.25">
      <c r="A12" s="215" t="s">
        <v>63</v>
      </c>
      <c r="B12" s="160"/>
      <c r="C12" s="160"/>
      <c r="D12" s="160"/>
      <c r="E12" s="160"/>
      <c r="F12" s="160"/>
      <c r="G12" s="160"/>
      <c r="H12" s="160"/>
      <c r="I12" s="160"/>
      <c r="J12" s="160"/>
      <c r="K12" s="216"/>
    </row>
    <row r="13" spans="1:17" x14ac:dyDescent="0.2">
      <c r="A13" s="9"/>
      <c r="C13" s="41" t="s">
        <v>127</v>
      </c>
      <c r="D13" s="41"/>
      <c r="E13" s="174" t="s">
        <v>183</v>
      </c>
      <c r="F13" s="174"/>
      <c r="G13" s="174"/>
      <c r="H13" s="174"/>
      <c r="I13" s="174"/>
      <c r="J13" s="174"/>
      <c r="K13" s="175"/>
    </row>
    <row r="14" spans="1:17" x14ac:dyDescent="0.2">
      <c r="A14" s="9"/>
      <c r="C14" s="112" t="s">
        <v>128</v>
      </c>
      <c r="D14" s="112"/>
      <c r="E14" s="174" t="s">
        <v>184</v>
      </c>
      <c r="F14" s="174"/>
      <c r="G14" s="174"/>
      <c r="H14" s="174"/>
      <c r="I14" s="174"/>
      <c r="J14" s="174"/>
      <c r="K14" s="175"/>
    </row>
    <row r="15" spans="1:17" ht="15.75" customHeight="1" x14ac:dyDescent="0.2">
      <c r="A15" s="9"/>
      <c r="C15" s="41" t="s">
        <v>129</v>
      </c>
      <c r="D15" s="41"/>
      <c r="E15" s="251" t="s">
        <v>185</v>
      </c>
      <c r="F15" s="251"/>
      <c r="G15" s="251"/>
      <c r="H15" s="251"/>
      <c r="I15" s="251"/>
      <c r="J15" s="251"/>
      <c r="K15" s="252"/>
    </row>
    <row r="16" spans="1:17" x14ac:dyDescent="0.2">
      <c r="A16" s="9"/>
      <c r="E16" s="251"/>
      <c r="F16" s="251"/>
      <c r="G16" s="251"/>
      <c r="H16" s="251"/>
      <c r="I16" s="251"/>
      <c r="J16" s="251"/>
      <c r="K16" s="252"/>
    </row>
    <row r="17" spans="1:11" ht="18" customHeight="1" x14ac:dyDescent="0.25">
      <c r="A17" s="9"/>
      <c r="B17" s="22"/>
      <c r="C17" s="22"/>
      <c r="D17" s="22"/>
      <c r="E17" s="22" t="s">
        <v>16</v>
      </c>
      <c r="F17" s="22"/>
      <c r="J17" s="23"/>
      <c r="K17" s="11"/>
    </row>
    <row r="18" spans="1:11" x14ac:dyDescent="0.2">
      <c r="A18" s="9"/>
      <c r="B18" s="104"/>
      <c r="C18" s="23"/>
      <c r="D18" s="24"/>
      <c r="E18" s="166" t="s">
        <v>69</v>
      </c>
      <c r="F18" s="166"/>
      <c r="K18" s="11"/>
    </row>
    <row r="19" spans="1:11" ht="9.75" customHeight="1" x14ac:dyDescent="0.2">
      <c r="A19" s="9"/>
      <c r="B19" s="24"/>
      <c r="J19" s="23"/>
      <c r="K19" s="11"/>
    </row>
    <row r="20" spans="1:11" x14ac:dyDescent="0.2">
      <c r="A20" s="9"/>
      <c r="C20" s="100" t="s">
        <v>0</v>
      </c>
      <c r="D20" s="95"/>
      <c r="E20" t="s">
        <v>186</v>
      </c>
      <c r="F20" s="25"/>
      <c r="H20" s="100" t="s">
        <v>6</v>
      </c>
      <c r="I20" t="s">
        <v>187</v>
      </c>
      <c r="J20" s="95"/>
      <c r="K20" s="11"/>
    </row>
    <row r="21" spans="1:11" ht="10.5" customHeight="1" x14ac:dyDescent="0.2">
      <c r="A21" s="9"/>
      <c r="C21" s="101" t="s">
        <v>40</v>
      </c>
      <c r="D21" s="95"/>
      <c r="E21" s="95"/>
      <c r="F21" s="25"/>
      <c r="H21" s="26" t="s">
        <v>24</v>
      </c>
      <c r="I21" s="95"/>
      <c r="J21" s="95"/>
      <c r="K21" s="11"/>
    </row>
    <row r="22" spans="1:11" x14ac:dyDescent="0.2">
      <c r="A22" s="9"/>
      <c r="C22" s="100" t="s">
        <v>22</v>
      </c>
      <c r="D22" s="57"/>
      <c r="E22" t="s">
        <v>188</v>
      </c>
      <c r="F22" s="96" t="s">
        <v>61</v>
      </c>
      <c r="H22" s="100" t="s">
        <v>4</v>
      </c>
      <c r="I22" s="254">
        <v>0.01</v>
      </c>
      <c r="J22" s="96" t="s">
        <v>61</v>
      </c>
      <c r="K22" s="11"/>
    </row>
    <row r="23" spans="1:11" ht="10.5" customHeight="1" x14ac:dyDescent="0.2">
      <c r="A23" s="9"/>
      <c r="C23" s="101" t="s">
        <v>41</v>
      </c>
      <c r="D23" s="95"/>
      <c r="E23" s="95"/>
      <c r="F23" s="25"/>
      <c r="H23" s="26" t="s">
        <v>25</v>
      </c>
      <c r="I23" s="95"/>
      <c r="J23" s="25"/>
      <c r="K23" s="11"/>
    </row>
    <row r="24" spans="1:11" x14ac:dyDescent="0.2">
      <c r="A24" s="9"/>
      <c r="C24" s="100" t="s">
        <v>2</v>
      </c>
      <c r="D24" s="57"/>
      <c r="E24" s="255">
        <v>3028492489282</v>
      </c>
      <c r="F24" s="25"/>
      <c r="H24" s="100" t="s">
        <v>1</v>
      </c>
      <c r="I24" t="s">
        <v>189</v>
      </c>
      <c r="J24" s="95"/>
      <c r="K24" s="11"/>
    </row>
    <row r="25" spans="1:11" ht="11.25" customHeight="1" x14ac:dyDescent="0.2">
      <c r="A25" s="9"/>
      <c r="C25" s="101" t="s">
        <v>26</v>
      </c>
      <c r="D25" s="95"/>
      <c r="E25" s="95"/>
      <c r="F25" s="25"/>
      <c r="H25" s="26" t="s">
        <v>27</v>
      </c>
      <c r="I25" s="95"/>
      <c r="J25" s="25"/>
      <c r="K25" s="11"/>
    </row>
    <row r="26" spans="1:11" ht="15.75" customHeight="1" x14ac:dyDescent="0.2">
      <c r="A26" s="9"/>
      <c r="C26" s="100" t="s">
        <v>3</v>
      </c>
      <c r="D26" s="95"/>
      <c r="E26" t="s">
        <v>190</v>
      </c>
      <c r="F26" s="25"/>
      <c r="G26" s="100"/>
      <c r="H26" s="100" t="s">
        <v>117</v>
      </c>
      <c r="I26" t="s">
        <v>191</v>
      </c>
      <c r="J26" s="25"/>
      <c r="K26" s="11"/>
    </row>
    <row r="27" spans="1:11" ht="9.75" customHeight="1" x14ac:dyDescent="0.2">
      <c r="A27" s="9"/>
      <c r="C27" s="26" t="s">
        <v>28</v>
      </c>
      <c r="D27" s="95"/>
      <c r="E27" s="95"/>
      <c r="F27" s="25"/>
      <c r="G27" s="26"/>
      <c r="H27" s="26" t="s">
        <v>118</v>
      </c>
      <c r="I27" s="25"/>
      <c r="J27" s="25"/>
      <c r="K27" s="11"/>
    </row>
    <row r="28" spans="1:11" ht="12.75" customHeight="1" x14ac:dyDescent="0.2">
      <c r="A28" s="9"/>
      <c r="C28" s="26"/>
      <c r="D28" s="95"/>
      <c r="E28" s="95"/>
      <c r="F28" s="25"/>
      <c r="G28" s="26"/>
      <c r="H28" s="100" t="s">
        <v>168</v>
      </c>
      <c r="I28" s="25" t="s">
        <v>170</v>
      </c>
      <c r="J28" s="25"/>
      <c r="K28" s="11"/>
    </row>
    <row r="29" spans="1:11" ht="12" customHeight="1" x14ac:dyDescent="0.2">
      <c r="A29" s="9"/>
      <c r="C29" s="26"/>
      <c r="D29" s="95"/>
      <c r="E29" s="95"/>
      <c r="F29" s="25"/>
      <c r="G29" s="26"/>
      <c r="H29" s="26" t="s">
        <v>169</v>
      </c>
      <c r="J29" s="25"/>
      <c r="K29" s="11"/>
    </row>
    <row r="30" spans="1:11" ht="10.5" customHeight="1" x14ac:dyDescent="0.2">
      <c r="A30" s="9"/>
      <c r="B30" s="27"/>
      <c r="D30" s="25"/>
      <c r="E30" s="25"/>
      <c r="F30" s="25"/>
      <c r="G30" s="25"/>
      <c r="H30" s="25"/>
      <c r="I30" s="25"/>
      <c r="J30" s="25"/>
      <c r="K30" s="11"/>
    </row>
    <row r="31" spans="1:11" x14ac:dyDescent="0.2">
      <c r="A31" s="9"/>
      <c r="B31" s="100" t="s">
        <v>8</v>
      </c>
      <c r="D31" s="158">
        <v>46231</v>
      </c>
      <c r="E31" s="158"/>
      <c r="F31" s="25"/>
      <c r="G31" s="28"/>
      <c r="H31" s="168" t="s">
        <v>9</v>
      </c>
      <c r="I31" s="168"/>
      <c r="J31" s="103">
        <v>46231</v>
      </c>
      <c r="K31" s="11"/>
    </row>
    <row r="32" spans="1:11" ht="9.75" customHeight="1" x14ac:dyDescent="0.2">
      <c r="A32" s="9"/>
      <c r="B32" s="101" t="s">
        <v>29</v>
      </c>
      <c r="D32" s="29"/>
      <c r="E32" s="29"/>
      <c r="F32" s="25"/>
      <c r="G32" s="30"/>
      <c r="H32" s="169" t="s">
        <v>30</v>
      </c>
      <c r="I32" s="169"/>
      <c r="J32" s="25"/>
      <c r="K32" s="11"/>
    </row>
    <row r="33" spans="1:16" ht="15" customHeight="1" x14ac:dyDescent="0.2">
      <c r="A33" s="9"/>
      <c r="B33" s="100" t="s">
        <v>155</v>
      </c>
      <c r="D33" s="158">
        <f>J31+3</f>
        <v>46234</v>
      </c>
      <c r="E33" s="158"/>
      <c r="F33" s="25"/>
      <c r="G33" s="25"/>
      <c r="H33" s="168" t="s">
        <v>42</v>
      </c>
      <c r="I33" s="168"/>
      <c r="J33" s="136">
        <f>J31+365</f>
        <v>46596</v>
      </c>
      <c r="K33" s="11"/>
    </row>
    <row r="34" spans="1:16" ht="9.75" customHeight="1" x14ac:dyDescent="0.2">
      <c r="A34" s="9"/>
      <c r="B34" s="101" t="s">
        <v>100</v>
      </c>
      <c r="D34" s="31"/>
      <c r="E34" s="31"/>
      <c r="H34" s="169" t="s">
        <v>31</v>
      </c>
      <c r="I34" s="169"/>
      <c r="J34" s="25"/>
      <c r="K34" s="11"/>
    </row>
    <row r="35" spans="1:16" ht="15" customHeight="1" x14ac:dyDescent="0.2">
      <c r="A35" s="9"/>
      <c r="B35" s="32"/>
      <c r="C35" s="32"/>
      <c r="D35" s="23"/>
      <c r="E35" s="165" t="s">
        <v>59</v>
      </c>
      <c r="F35" s="165"/>
      <c r="G35" s="165"/>
      <c r="H35" s="165"/>
      <c r="K35" s="11"/>
    </row>
    <row r="36" spans="1:16" x14ac:dyDescent="0.2">
      <c r="A36" s="9"/>
      <c r="B36" s="24"/>
      <c r="E36" s="166" t="s">
        <v>60</v>
      </c>
      <c r="F36" s="166"/>
      <c r="K36" s="11"/>
    </row>
    <row r="37" spans="1:16" x14ac:dyDescent="0.2">
      <c r="A37" s="9"/>
      <c r="K37" s="11"/>
      <c r="M37" s="65"/>
      <c r="N37" s="66"/>
      <c r="O37" s="66"/>
      <c r="P37" s="143"/>
    </row>
    <row r="38" spans="1:16" x14ac:dyDescent="0.2">
      <c r="A38" s="9"/>
      <c r="B38" s="100" t="s">
        <v>0</v>
      </c>
      <c r="D38" s="120" t="s">
        <v>95</v>
      </c>
      <c r="E38" s="121"/>
      <c r="G38" s="100" t="s">
        <v>6</v>
      </c>
      <c r="H38" s="27"/>
      <c r="I38" s="94" t="s">
        <v>171</v>
      </c>
      <c r="J38" s="25"/>
      <c r="K38" s="11"/>
      <c r="M38" s="67"/>
      <c r="N38" s="68"/>
      <c r="O38" s="68"/>
      <c r="P38" s="62"/>
    </row>
    <row r="39" spans="1:16" s="3" customFormat="1" x14ac:dyDescent="0.2">
      <c r="A39" s="9"/>
      <c r="B39" s="122" t="s">
        <v>32</v>
      </c>
      <c r="C39"/>
      <c r="D39" s="120"/>
      <c r="E39" s="95"/>
      <c r="F39"/>
      <c r="G39" s="26" t="s">
        <v>24</v>
      </c>
      <c r="H39" s="27"/>
      <c r="I39" s="94"/>
      <c r="J39" s="123"/>
      <c r="K39" s="33"/>
      <c r="M39" s="67"/>
      <c r="N39" s="68"/>
      <c r="O39" s="68"/>
      <c r="P39" s="69"/>
    </row>
    <row r="40" spans="1:16" x14ac:dyDescent="0.2">
      <c r="A40" s="9"/>
      <c r="B40" s="100" t="s">
        <v>22</v>
      </c>
      <c r="D40" s="94" t="s">
        <v>172</v>
      </c>
      <c r="E40" s="95"/>
      <c r="G40" s="100" t="s">
        <v>4</v>
      </c>
      <c r="H40" s="27"/>
      <c r="I40" s="94">
        <v>1E-3</v>
      </c>
      <c r="J40" s="25" t="s">
        <v>61</v>
      </c>
      <c r="K40" s="11"/>
      <c r="M40" s="67"/>
      <c r="N40" s="68"/>
      <c r="O40" s="68"/>
      <c r="P40" s="62"/>
    </row>
    <row r="41" spans="1:16" s="3" customFormat="1" x14ac:dyDescent="0.2">
      <c r="A41" s="9"/>
      <c r="B41" s="101" t="s">
        <v>43</v>
      </c>
      <c r="C41"/>
      <c r="D41" s="94"/>
      <c r="E41" s="95"/>
      <c r="F41"/>
      <c r="G41" s="26" t="s">
        <v>25</v>
      </c>
      <c r="H41" s="27"/>
      <c r="I41" s="94"/>
      <c r="J41" s="25"/>
      <c r="K41" s="33"/>
      <c r="M41" s="67"/>
      <c r="N41" s="68"/>
      <c r="O41" s="68"/>
      <c r="P41" s="69"/>
    </row>
    <row r="42" spans="1:16" x14ac:dyDescent="0.2">
      <c r="A42" s="9"/>
      <c r="B42" s="100" t="s">
        <v>2</v>
      </c>
      <c r="C42" s="253">
        <v>230099163</v>
      </c>
      <c r="D42" s="253"/>
      <c r="E42" s="253"/>
      <c r="G42" s="100" t="s">
        <v>1</v>
      </c>
      <c r="H42" s="27"/>
      <c r="I42" s="94" t="s">
        <v>173</v>
      </c>
      <c r="J42" s="25"/>
      <c r="K42" s="11"/>
      <c r="M42" s="67"/>
      <c r="N42" s="68"/>
      <c r="O42" s="68"/>
      <c r="P42" s="70"/>
    </row>
    <row r="43" spans="1:16" x14ac:dyDescent="0.2">
      <c r="A43" s="34"/>
      <c r="B43" s="101" t="s">
        <v>33</v>
      </c>
      <c r="C43" s="250"/>
      <c r="D43" s="250"/>
      <c r="E43" s="250"/>
      <c r="F43" s="3"/>
      <c r="G43" s="26" t="s">
        <v>27</v>
      </c>
      <c r="H43" s="124"/>
      <c r="I43" s="120"/>
      <c r="J43" s="25"/>
      <c r="K43" s="11"/>
      <c r="M43" s="67"/>
      <c r="N43" s="68"/>
      <c r="O43" s="68"/>
      <c r="P43" s="62"/>
    </row>
    <row r="44" spans="1:16" x14ac:dyDescent="0.2">
      <c r="A44" s="9"/>
      <c r="B44" s="100" t="s">
        <v>3</v>
      </c>
      <c r="D44" s="94" t="s">
        <v>166</v>
      </c>
      <c r="E44" s="95"/>
      <c r="G44" s="100" t="s">
        <v>5</v>
      </c>
      <c r="H44" s="27"/>
      <c r="I44" s="103">
        <v>46726</v>
      </c>
      <c r="J44" s="25"/>
      <c r="K44" s="11"/>
      <c r="M44" s="67"/>
      <c r="N44" s="68"/>
      <c r="O44" s="68"/>
      <c r="P44" s="62"/>
    </row>
    <row r="45" spans="1:16" x14ac:dyDescent="0.2">
      <c r="A45" s="34"/>
      <c r="B45" s="26" t="s">
        <v>28</v>
      </c>
      <c r="C45" s="3"/>
      <c r="D45" s="120"/>
      <c r="E45" s="121"/>
      <c r="F45" s="3"/>
      <c r="G45" s="26" t="s">
        <v>34</v>
      </c>
      <c r="H45" s="124"/>
      <c r="I45" s="103"/>
      <c r="J45" s="25"/>
      <c r="K45" s="11"/>
      <c r="M45" s="67"/>
      <c r="N45" s="68"/>
      <c r="O45" s="68"/>
      <c r="P45" s="62"/>
    </row>
    <row r="46" spans="1:16" ht="14.25" customHeight="1" x14ac:dyDescent="0.2">
      <c r="A46" s="9"/>
      <c r="B46" s="100" t="s">
        <v>7</v>
      </c>
      <c r="D46" s="125" t="s">
        <v>180</v>
      </c>
      <c r="E46" s="126"/>
      <c r="G46" s="100" t="s">
        <v>20</v>
      </c>
      <c r="H46" s="27"/>
      <c r="I46" s="129">
        <v>1.5</v>
      </c>
      <c r="J46" s="128"/>
      <c r="K46" s="11"/>
      <c r="M46" s="67"/>
      <c r="N46" s="68"/>
      <c r="O46" s="68"/>
      <c r="P46" s="62"/>
    </row>
    <row r="47" spans="1:16" x14ac:dyDescent="0.2">
      <c r="A47" s="9"/>
      <c r="B47" s="26" t="s">
        <v>23</v>
      </c>
      <c r="D47" s="125"/>
      <c r="G47" s="26" t="s">
        <v>99</v>
      </c>
      <c r="H47" s="27"/>
      <c r="I47" s="127"/>
      <c r="J47" s="25"/>
      <c r="K47" s="11"/>
      <c r="M47" s="67"/>
      <c r="N47" s="68"/>
      <c r="O47" s="68"/>
      <c r="P47" s="62"/>
    </row>
    <row r="48" spans="1:16" ht="15" customHeight="1" x14ac:dyDescent="0.2">
      <c r="A48" s="9"/>
      <c r="B48" s="100" t="s">
        <v>74</v>
      </c>
      <c r="C48" s="25" t="s">
        <v>181</v>
      </c>
      <c r="D48" s="25"/>
      <c r="E48" s="25"/>
      <c r="F48" s="25"/>
      <c r="G48" s="25"/>
      <c r="H48" s="25"/>
      <c r="K48" s="11"/>
      <c r="M48" s="67"/>
      <c r="N48" s="68"/>
      <c r="O48" s="68"/>
      <c r="P48" s="62"/>
    </row>
    <row r="49" spans="1:21" ht="15" customHeight="1" x14ac:dyDescent="0.2">
      <c r="A49" s="9"/>
      <c r="B49" s="100"/>
      <c r="K49" s="11"/>
      <c r="M49" s="67"/>
      <c r="N49" s="68"/>
      <c r="O49" s="68"/>
      <c r="P49" s="62"/>
    </row>
    <row r="50" spans="1:21" ht="17.25" customHeight="1" x14ac:dyDescent="0.2">
      <c r="A50" s="9"/>
      <c r="B50" s="26"/>
      <c r="C50" s="32"/>
      <c r="E50" s="165" t="s">
        <v>11</v>
      </c>
      <c r="F50" s="165"/>
      <c r="G50" s="165"/>
      <c r="H50" s="165"/>
      <c r="K50" s="11"/>
    </row>
    <row r="51" spans="1:21" x14ac:dyDescent="0.2">
      <c r="A51" s="9"/>
      <c r="B51" s="24"/>
      <c r="E51" s="167" t="s">
        <v>35</v>
      </c>
      <c r="F51" s="167"/>
      <c r="K51" s="11"/>
    </row>
    <row r="52" spans="1:21" ht="10.5" customHeight="1" x14ac:dyDescent="0.2">
      <c r="A52" s="9"/>
      <c r="K52" s="11"/>
    </row>
    <row r="53" spans="1:21" ht="15" customHeight="1" x14ac:dyDescent="0.2">
      <c r="A53" s="9"/>
      <c r="B53" s="100" t="s">
        <v>12</v>
      </c>
      <c r="C53" s="256">
        <v>0.309</v>
      </c>
      <c r="D53" s="168" t="s">
        <v>13</v>
      </c>
      <c r="E53" s="168"/>
      <c r="F53" s="164">
        <v>20.2</v>
      </c>
      <c r="G53" s="164"/>
      <c r="H53" s="172" t="s">
        <v>14</v>
      </c>
      <c r="I53" s="172"/>
      <c r="J53" s="58">
        <v>20.399999999999999</v>
      </c>
      <c r="K53" s="11"/>
    </row>
    <row r="54" spans="1:21" ht="10.5" customHeight="1" x14ac:dyDescent="0.2">
      <c r="A54" s="9"/>
      <c r="B54" s="101" t="s">
        <v>36</v>
      </c>
      <c r="D54" s="169" t="s">
        <v>52</v>
      </c>
      <c r="E54" s="169"/>
      <c r="G54" s="35"/>
      <c r="H54" s="173" t="s">
        <v>37</v>
      </c>
      <c r="I54" s="173"/>
      <c r="K54" s="11"/>
    </row>
    <row r="55" spans="1:21" ht="10.5" customHeight="1" x14ac:dyDescent="0.2">
      <c r="A55" s="9"/>
      <c r="B55" s="101"/>
      <c r="E55" s="62"/>
      <c r="G55" s="171"/>
      <c r="H55" s="171"/>
      <c r="I55" s="62"/>
      <c r="K55" s="11"/>
    </row>
    <row r="56" spans="1:21" x14ac:dyDescent="0.2">
      <c r="A56" s="9"/>
      <c r="B56" s="100" t="s">
        <v>47</v>
      </c>
      <c r="D56" s="176" t="s">
        <v>119</v>
      </c>
      <c r="E56" s="176"/>
      <c r="F56" s="176"/>
      <c r="G56" s="176"/>
      <c r="H56" s="176"/>
      <c r="I56" s="176"/>
      <c r="J56" s="176"/>
      <c r="K56" s="11"/>
    </row>
    <row r="57" spans="1:21" ht="10.5" customHeight="1" x14ac:dyDescent="0.2">
      <c r="A57" s="9"/>
      <c r="B57" s="101" t="s">
        <v>48</v>
      </c>
      <c r="D57" s="240" t="s">
        <v>120</v>
      </c>
      <c r="E57" s="240"/>
      <c r="F57" s="240"/>
      <c r="G57" s="240"/>
      <c r="H57" s="240"/>
      <c r="I57" s="240"/>
      <c r="J57" s="240"/>
      <c r="K57" s="11"/>
    </row>
    <row r="58" spans="1:21" x14ac:dyDescent="0.2">
      <c r="A58" s="9"/>
      <c r="B58" s="100" t="s">
        <v>15</v>
      </c>
      <c r="D58" t="s">
        <v>75</v>
      </c>
      <c r="F58" s="37"/>
      <c r="G58" s="37"/>
      <c r="J58" s="37"/>
      <c r="K58" s="11"/>
    </row>
    <row r="59" spans="1:21" ht="9.75" customHeight="1" x14ac:dyDescent="0.2">
      <c r="A59" s="9"/>
      <c r="B59" s="101" t="s">
        <v>38</v>
      </c>
      <c r="D59" s="38" t="s">
        <v>96</v>
      </c>
      <c r="E59" s="39"/>
      <c r="F59" s="36"/>
      <c r="G59" s="36"/>
      <c r="H59" s="40"/>
      <c r="I59" s="40"/>
      <c r="K59" s="11"/>
    </row>
    <row r="60" spans="1:21" x14ac:dyDescent="0.2">
      <c r="A60" s="9"/>
      <c r="B60" s="100" t="s">
        <v>17</v>
      </c>
      <c r="D60" s="37" t="s">
        <v>18</v>
      </c>
      <c r="E60" s="37"/>
      <c r="G60" s="41" t="s">
        <v>19</v>
      </c>
      <c r="H60" s="219" t="s">
        <v>167</v>
      </c>
      <c r="I60" s="219"/>
      <c r="J60" s="219"/>
      <c r="K60" s="11"/>
    </row>
    <row r="61" spans="1:21" ht="9.75" customHeight="1" x14ac:dyDescent="0.2">
      <c r="A61" s="9"/>
      <c r="B61" s="101" t="s">
        <v>49</v>
      </c>
      <c r="D61" s="42" t="s">
        <v>50</v>
      </c>
      <c r="E61" s="36"/>
      <c r="G61" s="43" t="s">
        <v>39</v>
      </c>
      <c r="H61" s="42"/>
      <c r="J61" s="105"/>
      <c r="K61" s="11"/>
    </row>
    <row r="62" spans="1:21" ht="19" x14ac:dyDescent="0.2">
      <c r="A62" s="9"/>
      <c r="B62" s="160" t="s">
        <v>97</v>
      </c>
      <c r="C62" s="160"/>
      <c r="D62" s="160"/>
      <c r="E62" s="160"/>
      <c r="G62" s="160" t="s">
        <v>101</v>
      </c>
      <c r="H62" s="160"/>
      <c r="I62" s="160"/>
      <c r="J62" s="160"/>
      <c r="K62" s="11"/>
      <c r="S62" s="5"/>
      <c r="T62" s="5"/>
      <c r="U62" s="5"/>
    </row>
    <row r="63" spans="1:21" ht="15" customHeight="1" x14ac:dyDescent="0.2">
      <c r="A63" s="9"/>
      <c r="K63" s="11"/>
      <c r="S63" s="2"/>
      <c r="T63" s="2"/>
      <c r="U63" s="2"/>
    </row>
    <row r="64" spans="1:21" ht="15" customHeight="1" x14ac:dyDescent="0.2">
      <c r="A64" s="9"/>
      <c r="G64" s="37"/>
      <c r="K64" s="11"/>
      <c r="S64" s="2"/>
      <c r="T64" s="2"/>
      <c r="U64" s="2"/>
    </row>
    <row r="65" spans="1:19" ht="14.25" customHeight="1" x14ac:dyDescent="0.2">
      <c r="A65" s="9"/>
      <c r="B65" s="170" t="s">
        <v>162</v>
      </c>
      <c r="C65" s="170"/>
      <c r="D65" s="170"/>
      <c r="E65" s="170"/>
      <c r="G65" s="170" t="s">
        <v>102</v>
      </c>
      <c r="H65" s="170"/>
      <c r="I65" s="170"/>
      <c r="J65" s="170"/>
      <c r="K65" s="11"/>
    </row>
    <row r="66" spans="1:19" ht="16" thickBot="1" x14ac:dyDescent="0.25">
      <c r="A66" s="44" t="s">
        <v>65</v>
      </c>
      <c r="B66" s="21"/>
      <c r="C66" s="21"/>
      <c r="D66" s="21"/>
      <c r="E66" s="21"/>
      <c r="F66" s="21" t="s">
        <v>51</v>
      </c>
      <c r="G66" s="21"/>
      <c r="H66" s="21"/>
      <c r="I66" s="21"/>
      <c r="J66" s="220" t="s">
        <v>66</v>
      </c>
      <c r="K66" s="221"/>
    </row>
    <row r="67" spans="1:19" ht="15" customHeight="1" thickTop="1" x14ac:dyDescent="0.25">
      <c r="A67" s="6"/>
      <c r="B67" s="7"/>
      <c r="C67" s="7"/>
      <c r="D67" s="7"/>
      <c r="E67" s="7"/>
      <c r="F67" s="7"/>
      <c r="G67" s="7"/>
      <c r="H67" s="7"/>
      <c r="I67" s="7"/>
      <c r="J67" s="45"/>
      <c r="K67" s="8"/>
    </row>
    <row r="68" spans="1:19" ht="15.75" customHeight="1" x14ac:dyDescent="0.2">
      <c r="A68" s="9"/>
      <c r="C68" s="162" t="s">
        <v>175</v>
      </c>
      <c r="D68" s="162"/>
      <c r="E68" s="162"/>
      <c r="F68" s="162"/>
      <c r="G68" s="162"/>
      <c r="H68" s="162"/>
      <c r="I68" s="162"/>
      <c r="J68" s="10"/>
      <c r="K68" s="11"/>
    </row>
    <row r="69" spans="1:19" ht="12" customHeight="1" x14ac:dyDescent="0.2">
      <c r="A69" s="9"/>
      <c r="C69" s="163" t="s">
        <v>176</v>
      </c>
      <c r="D69" s="163"/>
      <c r="E69" s="163"/>
      <c r="F69" s="163"/>
      <c r="G69" s="163"/>
      <c r="H69" s="163"/>
      <c r="I69" s="163"/>
      <c r="J69" s="12"/>
      <c r="K69" s="11"/>
    </row>
    <row r="70" spans="1:19" ht="15" customHeight="1" x14ac:dyDescent="0.2">
      <c r="A70" s="9"/>
      <c r="C70" s="161" t="s">
        <v>177</v>
      </c>
      <c r="D70" s="161"/>
      <c r="E70" s="161"/>
      <c r="F70" s="161"/>
      <c r="G70" s="161"/>
      <c r="H70" s="161"/>
      <c r="I70" s="161"/>
      <c r="J70" s="13"/>
      <c r="K70" s="11"/>
    </row>
    <row r="71" spans="1:19" ht="15" customHeight="1" x14ac:dyDescent="0.25">
      <c r="A71" s="9"/>
      <c r="C71" s="223" t="s">
        <v>71</v>
      </c>
      <c r="D71" s="223"/>
      <c r="E71" s="223"/>
      <c r="F71" s="223"/>
      <c r="G71" s="223"/>
      <c r="H71" s="223"/>
      <c r="I71" s="223"/>
      <c r="J71" s="17"/>
      <c r="K71" s="11"/>
    </row>
    <row r="72" spans="1:19" ht="15" customHeight="1" x14ac:dyDescent="0.25">
      <c r="A72" s="9"/>
      <c r="C72" s="223"/>
      <c r="D72" s="223"/>
      <c r="E72" s="223"/>
      <c r="F72" s="223"/>
      <c r="G72" s="223"/>
      <c r="H72" s="223"/>
      <c r="I72" s="223"/>
      <c r="J72" s="17"/>
      <c r="K72" s="11"/>
    </row>
    <row r="73" spans="1:19" ht="15" customHeight="1" x14ac:dyDescent="0.2">
      <c r="A73" s="9"/>
      <c r="C73" s="20"/>
      <c r="D73" s="20"/>
      <c r="E73" s="159" t="s">
        <v>55</v>
      </c>
      <c r="F73" s="159"/>
      <c r="G73" s="20"/>
      <c r="H73" s="20"/>
      <c r="I73" s="20"/>
      <c r="J73" s="20"/>
      <c r="K73" s="11"/>
    </row>
    <row r="74" spans="1:19" ht="15" customHeight="1" x14ac:dyDescent="0.2">
      <c r="A74" s="9"/>
      <c r="C74" s="20"/>
      <c r="D74" s="20"/>
      <c r="E74" s="119"/>
      <c r="F74" s="119"/>
      <c r="G74" s="20"/>
      <c r="H74" s="20"/>
      <c r="I74" s="20"/>
      <c r="J74" s="20"/>
      <c r="K74" s="11"/>
    </row>
    <row r="75" spans="1:19" ht="15" customHeight="1" x14ac:dyDescent="0.2">
      <c r="A75" s="9"/>
      <c r="C75" s="20"/>
      <c r="D75" s="20"/>
      <c r="E75" s="119"/>
      <c r="F75" s="119"/>
      <c r="G75" s="20"/>
      <c r="H75" s="20"/>
      <c r="I75" s="20"/>
      <c r="J75" s="20"/>
      <c r="K75" s="11"/>
    </row>
    <row r="76" spans="1:19" ht="15.75" customHeight="1" x14ac:dyDescent="0.25">
      <c r="A76" s="9"/>
      <c r="F76" s="119"/>
      <c r="G76" s="119"/>
      <c r="H76" s="46" t="s">
        <v>10</v>
      </c>
      <c r="I76" s="222" t="str">
        <f>I10</f>
        <v>MYCA-07-2026-0001</v>
      </c>
      <c r="J76" s="222"/>
      <c r="K76" s="11"/>
    </row>
    <row r="77" spans="1:19" x14ac:dyDescent="0.2">
      <c r="A77" s="9"/>
      <c r="C77" s="62"/>
      <c r="H77" s="47" t="s">
        <v>23</v>
      </c>
      <c r="K77" s="11"/>
    </row>
    <row r="78" spans="1:19" ht="16" thickBot="1" x14ac:dyDescent="0.25">
      <c r="A78" s="9"/>
      <c r="C78" s="62"/>
      <c r="H78" s="47"/>
      <c r="K78" s="11"/>
    </row>
    <row r="79" spans="1:19" ht="15.75" customHeight="1" x14ac:dyDescent="0.25">
      <c r="A79" s="9"/>
      <c r="B79" s="48"/>
      <c r="C79" s="48"/>
      <c r="D79" s="49"/>
      <c r="H79" s="99"/>
      <c r="I79" s="50" t="s">
        <v>46</v>
      </c>
      <c r="J79" s="51" t="s">
        <v>61</v>
      </c>
      <c r="K79" s="11"/>
      <c r="P79" s="85" t="s">
        <v>78</v>
      </c>
      <c r="S79" s="85" t="s">
        <v>78</v>
      </c>
    </row>
    <row r="80" spans="1:19" ht="17" thickBot="1" x14ac:dyDescent="0.25">
      <c r="A80" s="9"/>
      <c r="B80" s="117"/>
      <c r="C80" s="117"/>
      <c r="D80" s="117"/>
      <c r="E80" s="117"/>
      <c r="F80" s="117"/>
      <c r="G80" s="117"/>
      <c r="H80" s="117"/>
      <c r="I80" s="52" t="s">
        <v>45</v>
      </c>
      <c r="K80" s="11"/>
      <c r="P80" s="76">
        <v>0.1</v>
      </c>
      <c r="S80" s="76">
        <f>I40</f>
        <v>1E-3</v>
      </c>
    </row>
    <row r="81" spans="1:24" ht="30" customHeight="1" x14ac:dyDescent="0.2">
      <c r="A81" s="9"/>
      <c r="B81" s="156" t="s">
        <v>104</v>
      </c>
      <c r="C81" s="235" t="s">
        <v>70</v>
      </c>
      <c r="D81" s="235"/>
      <c r="E81" s="235"/>
      <c r="F81" s="235"/>
      <c r="G81" s="235"/>
      <c r="H81" s="235"/>
      <c r="I81" s="188" t="s">
        <v>88</v>
      </c>
      <c r="J81" s="183" t="s">
        <v>62</v>
      </c>
      <c r="K81" s="11"/>
      <c r="L81" s="242" t="s">
        <v>72</v>
      </c>
      <c r="M81" s="205" t="s">
        <v>83</v>
      </c>
      <c r="N81" s="177" t="s">
        <v>73</v>
      </c>
      <c r="O81" s="207" t="s">
        <v>76</v>
      </c>
      <c r="P81" s="209" t="s">
        <v>77</v>
      </c>
      <c r="Q81" s="177" t="s">
        <v>115</v>
      </c>
      <c r="R81" s="177" t="s">
        <v>79</v>
      </c>
      <c r="S81" s="177" t="s">
        <v>94</v>
      </c>
      <c r="T81" s="177" t="s">
        <v>89</v>
      </c>
      <c r="U81" s="177" t="s">
        <v>90</v>
      </c>
      <c r="V81" s="177" t="s">
        <v>91</v>
      </c>
      <c r="W81" s="201" t="s">
        <v>92</v>
      </c>
      <c r="X81" s="177" t="s">
        <v>93</v>
      </c>
    </row>
    <row r="82" spans="1:24" ht="16" thickBot="1" x14ac:dyDescent="0.25">
      <c r="A82" s="9"/>
      <c r="B82" s="157"/>
      <c r="C82" s="236" t="s">
        <v>80</v>
      </c>
      <c r="D82" s="237"/>
      <c r="E82" s="238"/>
      <c r="F82" s="230" t="s">
        <v>81</v>
      </c>
      <c r="G82" s="231"/>
      <c r="H82" s="232"/>
      <c r="I82" s="189"/>
      <c r="J82" s="184"/>
      <c r="K82" s="11"/>
      <c r="L82" s="243"/>
      <c r="M82" s="206"/>
      <c r="N82" s="178"/>
      <c r="O82" s="208"/>
      <c r="P82" s="210"/>
      <c r="Q82" s="178"/>
      <c r="R82" s="178"/>
      <c r="S82" s="178"/>
      <c r="T82" s="178"/>
      <c r="U82" s="178"/>
      <c r="V82" s="178"/>
      <c r="W82" s="202"/>
      <c r="X82" s="178"/>
    </row>
    <row r="83" spans="1:24" ht="16" thickBot="1" x14ac:dyDescent="0.25">
      <c r="A83" s="9"/>
      <c r="B83" s="141">
        <f>L95</f>
        <v>20</v>
      </c>
      <c r="C83" s="239">
        <f>M102</f>
        <v>20</v>
      </c>
      <c r="D83" s="239"/>
      <c r="E83" s="239"/>
      <c r="F83" s="233">
        <f>M109</f>
        <v>20.09</v>
      </c>
      <c r="G83" s="233"/>
      <c r="H83" s="233"/>
      <c r="I83" s="140">
        <f>F83-C83</f>
        <v>8.9999999999999858E-2</v>
      </c>
      <c r="J83" s="151">
        <f>X83</f>
        <v>0.7417106354008054</v>
      </c>
      <c r="K83" s="11"/>
      <c r="L83" s="132">
        <f>AVERAGE(B83:F83)</f>
        <v>20.03</v>
      </c>
      <c r="M83" s="88">
        <f>O109</f>
        <v>0</v>
      </c>
      <c r="N83" s="88">
        <f>M83/SQRT(3)</f>
        <v>0</v>
      </c>
      <c r="O83" s="88">
        <f>I22/SQRT(3)</f>
        <v>5.773502691896258E-3</v>
      </c>
      <c r="P83" s="89">
        <f>P$80/SQRT(3)</f>
        <v>5.7735026918962581E-2</v>
      </c>
      <c r="Q83" s="88">
        <f>O102</f>
        <v>0</v>
      </c>
      <c r="R83" s="90">
        <f>Q83/SQRT(3)</f>
        <v>0</v>
      </c>
      <c r="S83" s="90">
        <f>S$80/SQRT(3)</f>
        <v>5.773502691896258E-4</v>
      </c>
      <c r="T83" s="89">
        <f>0.6/SQRT(3)</f>
        <v>0.34641016151377546</v>
      </c>
      <c r="U83" s="88">
        <f>0.2/SQRT(3)</f>
        <v>0.11547005383792516</v>
      </c>
      <c r="V83" s="90">
        <f>0.05/SQRT(3)</f>
        <v>2.8867513459481291E-2</v>
      </c>
      <c r="W83" s="88">
        <f>SQRT(SUMSQ(N83:V83))</f>
        <v>0.3708553177004027</v>
      </c>
      <c r="X83" s="91">
        <f>W83*2</f>
        <v>0.7417106354008054</v>
      </c>
    </row>
    <row r="84" spans="1:24" ht="16" thickBot="1" x14ac:dyDescent="0.25">
      <c r="A84" s="9"/>
      <c r="B84" s="141">
        <f>L96</f>
        <v>30</v>
      </c>
      <c r="C84" s="239">
        <f>M103</f>
        <v>30</v>
      </c>
      <c r="D84" s="239"/>
      <c r="E84" s="239"/>
      <c r="F84" s="233">
        <f>M110</f>
        <v>31</v>
      </c>
      <c r="G84" s="233"/>
      <c r="H84" s="233"/>
      <c r="I84" s="140">
        <f>F84-C84</f>
        <v>1</v>
      </c>
      <c r="J84" s="151">
        <f>X84</f>
        <v>0.7417106354008054</v>
      </c>
      <c r="K84" s="11"/>
      <c r="L84" s="132">
        <f>AVERAGE(B84:F84)</f>
        <v>30.333333333333332</v>
      </c>
      <c r="M84" s="88">
        <f>O110</f>
        <v>0</v>
      </c>
      <c r="N84" s="78">
        <f t="shared" ref="N84:N87" si="0">M84/SQRT(3)</f>
        <v>0</v>
      </c>
      <c r="O84" s="88">
        <f>I22/SQRT(3)</f>
        <v>5.773502691896258E-3</v>
      </c>
      <c r="P84" s="73">
        <f>P$80/SQRT(3)</f>
        <v>5.7735026918962581E-2</v>
      </c>
      <c r="Q84" s="78">
        <f>O107</f>
        <v>0</v>
      </c>
      <c r="R84" s="79">
        <f t="shared" ref="R84:R87" si="1">Q84/SQRT(3)</f>
        <v>0</v>
      </c>
      <c r="S84" s="83">
        <f t="shared" ref="S84:S87" si="2">S$80/SQRT(3)</f>
        <v>5.773502691896258E-4</v>
      </c>
      <c r="T84" s="73">
        <f t="shared" ref="T84:T87" si="3">0.6/SQRT(3)</f>
        <v>0.34641016151377546</v>
      </c>
      <c r="U84" s="78">
        <f t="shared" ref="U84:U87" si="4">0.2/SQRT(3)</f>
        <v>0.11547005383792516</v>
      </c>
      <c r="V84" s="79">
        <f t="shared" ref="V84:V87" si="5">0.05/SQRT(3)</f>
        <v>2.8867513459481291E-2</v>
      </c>
      <c r="W84" s="84">
        <f t="shared" ref="W84:W87" si="6">SQRT(SUMSQ(N84:V84))</f>
        <v>0.3708553177004027</v>
      </c>
      <c r="X84" s="86">
        <f t="shared" ref="X84:X87" si="7">W84*2</f>
        <v>0.7417106354008054</v>
      </c>
    </row>
    <row r="85" spans="1:24" ht="16" thickBot="1" x14ac:dyDescent="0.25">
      <c r="A85" s="9"/>
      <c r="B85" s="141">
        <f>L97</f>
        <v>40</v>
      </c>
      <c r="C85" s="239">
        <f>M104</f>
        <v>40</v>
      </c>
      <c r="D85" s="239"/>
      <c r="E85" s="239"/>
      <c r="F85" s="233">
        <f>M111</f>
        <v>39.799999999999997</v>
      </c>
      <c r="G85" s="233"/>
      <c r="H85" s="233"/>
      <c r="I85" s="140">
        <f t="shared" ref="I85:I86" si="8">F85-C85</f>
        <v>-0.20000000000000284</v>
      </c>
      <c r="J85" s="151">
        <f t="shared" ref="J85:J86" si="9">X85</f>
        <v>0.75120022482542759</v>
      </c>
      <c r="K85" s="11"/>
      <c r="L85" s="132">
        <f t="shared" ref="L85:L86" si="10">AVERAGE(B85:F85)</f>
        <v>39.93333333333333</v>
      </c>
      <c r="M85" s="88">
        <f>O111</f>
        <v>0</v>
      </c>
      <c r="N85" s="78">
        <f t="shared" ref="N85:N86" si="11">M85/SQRT(3)</f>
        <v>0</v>
      </c>
      <c r="O85" s="88">
        <f>I22/SQRT(3)</f>
        <v>5.773502691896258E-3</v>
      </c>
      <c r="P85" s="73">
        <f t="shared" ref="P85:P86" si="12">P$80/SQRT(3)</f>
        <v>5.7735026918962581E-2</v>
      </c>
      <c r="Q85" s="78">
        <f>O108</f>
        <v>5.1539628765954922E-2</v>
      </c>
      <c r="R85" s="79">
        <f t="shared" ref="R85:R86" si="13">Q85/SQRT(3)</f>
        <v>2.9756418541957454E-2</v>
      </c>
      <c r="S85" s="83">
        <f t="shared" si="2"/>
        <v>5.773502691896258E-4</v>
      </c>
      <c r="T85" s="73">
        <f t="shared" si="3"/>
        <v>0.34641016151377546</v>
      </c>
      <c r="U85" s="78">
        <f t="shared" si="4"/>
        <v>0.11547005383792516</v>
      </c>
      <c r="V85" s="79">
        <f t="shared" si="5"/>
        <v>2.8867513459481291E-2</v>
      </c>
      <c r="W85" s="84">
        <f t="shared" ref="W85" si="14">SQRT(SUMSQ(N85:V85))</f>
        <v>0.37560011241271379</v>
      </c>
      <c r="X85" s="86">
        <f t="shared" ref="X85:X86" si="15">W85*2</f>
        <v>0.75120022482542759</v>
      </c>
    </row>
    <row r="86" spans="1:24" ht="16" thickBot="1" x14ac:dyDescent="0.25">
      <c r="A86" s="9"/>
      <c r="B86" s="145">
        <f>L98</f>
        <v>50</v>
      </c>
      <c r="C86" s="248">
        <f>M105</f>
        <v>50</v>
      </c>
      <c r="D86" s="248"/>
      <c r="E86" s="248"/>
      <c r="F86" s="249">
        <f>M112</f>
        <v>50.79999999999999</v>
      </c>
      <c r="G86" s="249"/>
      <c r="H86" s="249"/>
      <c r="I86" s="142">
        <f t="shared" si="8"/>
        <v>0.79999999999999005</v>
      </c>
      <c r="J86" s="152">
        <f t="shared" si="9"/>
        <v>0.7417106354008054</v>
      </c>
      <c r="K86" s="11"/>
      <c r="L86" s="132">
        <f t="shared" si="10"/>
        <v>50.266666666666659</v>
      </c>
      <c r="M86" s="88">
        <f t="shared" ref="M86:M87" si="16">O114</f>
        <v>0</v>
      </c>
      <c r="N86" s="78">
        <f t="shared" si="11"/>
        <v>0</v>
      </c>
      <c r="O86" s="88">
        <f>I22/SQRT(3)</f>
        <v>5.773502691896258E-3</v>
      </c>
      <c r="P86" s="73">
        <f t="shared" si="12"/>
        <v>5.7735026918962581E-2</v>
      </c>
      <c r="Q86" s="78">
        <f>O115</f>
        <v>0</v>
      </c>
      <c r="R86" s="79">
        <f t="shared" si="13"/>
        <v>0</v>
      </c>
      <c r="S86" s="83">
        <f t="shared" si="2"/>
        <v>5.773502691896258E-4</v>
      </c>
      <c r="T86" s="73">
        <f t="shared" si="3"/>
        <v>0.34641016151377546</v>
      </c>
      <c r="U86" s="78">
        <f t="shared" si="4"/>
        <v>0.11547005383792516</v>
      </c>
      <c r="V86" s="79">
        <f t="shared" si="5"/>
        <v>2.8867513459481291E-2</v>
      </c>
      <c r="W86" s="84">
        <f>SQRT(SUMSQ(N86:V86))</f>
        <v>0.3708553177004027</v>
      </c>
      <c r="X86" s="86">
        <f t="shared" si="15"/>
        <v>0.7417106354008054</v>
      </c>
    </row>
    <row r="87" spans="1:24" ht="16" hidden="1" thickBot="1" x14ac:dyDescent="0.25">
      <c r="A87" s="9"/>
      <c r="B87" s="144">
        <f t="shared" ref="B86:B87" si="17">L101</f>
        <v>80</v>
      </c>
      <c r="C87" s="234">
        <f t="shared" ref="C86:C87" si="18">M108</f>
        <v>200.14666666666665</v>
      </c>
      <c r="D87" s="234"/>
      <c r="E87" s="234"/>
      <c r="F87" s="234">
        <f t="shared" ref="F86:F87" si="19">M115</f>
        <v>200</v>
      </c>
      <c r="G87" s="234"/>
      <c r="H87" s="234"/>
      <c r="I87" s="147">
        <f>F87-C87</f>
        <v>-0.14666666666664696</v>
      </c>
      <c r="J87" s="148">
        <f>X87</f>
        <v>0.75120022482542759</v>
      </c>
      <c r="K87" s="11"/>
      <c r="L87" s="132">
        <f>AVERAGE(B87:F87)</f>
        <v>160.04888888888888</v>
      </c>
      <c r="M87" s="88">
        <f t="shared" si="16"/>
        <v>0</v>
      </c>
      <c r="N87" s="80">
        <f t="shared" si="0"/>
        <v>0</v>
      </c>
      <c r="O87" s="88">
        <f>I22/SQRT(3)</f>
        <v>5.773502691896258E-3</v>
      </c>
      <c r="P87" s="81">
        <f>P$80/SQRT(3)</f>
        <v>5.7735026918962581E-2</v>
      </c>
      <c r="Q87" s="80">
        <f>O108</f>
        <v>5.1539628765954922E-2</v>
      </c>
      <c r="R87" s="82">
        <f t="shared" si="1"/>
        <v>2.9756418541957454E-2</v>
      </c>
      <c r="S87" s="92">
        <f t="shared" si="2"/>
        <v>5.773502691896258E-4</v>
      </c>
      <c r="T87" s="81">
        <f t="shared" si="3"/>
        <v>0.34641016151377546</v>
      </c>
      <c r="U87" s="80">
        <f t="shared" si="4"/>
        <v>0.11547005383792516</v>
      </c>
      <c r="V87" s="82">
        <f t="shared" si="5"/>
        <v>2.8867513459481291E-2</v>
      </c>
      <c r="W87" s="93">
        <f t="shared" si="6"/>
        <v>0.37560011241271379</v>
      </c>
      <c r="X87" s="87">
        <f t="shared" si="7"/>
        <v>0.75120022482542759</v>
      </c>
    </row>
    <row r="88" spans="1:24" x14ac:dyDescent="0.2">
      <c r="A88" s="9"/>
      <c r="K88" s="11"/>
      <c r="L88" s="59"/>
      <c r="M88" s="60"/>
      <c r="N88" s="60"/>
      <c r="O88" s="61"/>
      <c r="P88" s="62"/>
      <c r="Q88" s="55"/>
      <c r="R88" s="62"/>
      <c r="S88" s="62"/>
    </row>
    <row r="89" spans="1:24" x14ac:dyDescent="0.2">
      <c r="A89" s="9"/>
      <c r="K89" s="11"/>
      <c r="L89" s="59">
        <v>0.21</v>
      </c>
      <c r="M89" s="60"/>
      <c r="N89" s="60"/>
      <c r="O89" s="61"/>
      <c r="P89" s="62"/>
      <c r="Q89" s="55"/>
      <c r="R89" s="62"/>
      <c r="S89" s="62"/>
    </row>
    <row r="90" spans="1:24" x14ac:dyDescent="0.2">
      <c r="A90" s="9"/>
      <c r="K90" s="11"/>
      <c r="L90" s="59"/>
      <c r="M90" s="60"/>
      <c r="N90" s="60"/>
      <c r="O90" s="61"/>
      <c r="P90" s="62"/>
      <c r="Q90" s="55"/>
      <c r="R90" s="62"/>
      <c r="S90" s="62"/>
    </row>
    <row r="91" spans="1:24" ht="16" thickBot="1" x14ac:dyDescent="0.25">
      <c r="A91" s="9"/>
      <c r="K91" s="11"/>
      <c r="L91" s="59"/>
      <c r="M91" s="60"/>
      <c r="N91" s="60"/>
      <c r="O91" s="61"/>
      <c r="P91" s="62"/>
      <c r="Q91" s="55"/>
      <c r="R91" s="62"/>
      <c r="S91" s="62"/>
    </row>
    <row r="92" spans="1:24" ht="16" thickBot="1" x14ac:dyDescent="0.25">
      <c r="A92" s="9"/>
      <c r="K92" s="11"/>
      <c r="L92" s="245" t="s">
        <v>82</v>
      </c>
      <c r="M92" s="203" t="s">
        <v>84</v>
      </c>
      <c r="N92" s="204"/>
      <c r="O92" s="192" t="s">
        <v>84</v>
      </c>
      <c r="P92" s="193"/>
      <c r="Q92" s="192" t="s">
        <v>84</v>
      </c>
      <c r="R92" s="193"/>
    </row>
    <row r="93" spans="1:24" ht="16" thickBot="1" x14ac:dyDescent="0.25">
      <c r="A93" s="9"/>
      <c r="K93" s="11"/>
      <c r="L93" s="246"/>
      <c r="M93" s="199">
        <v>1</v>
      </c>
      <c r="N93" s="200"/>
      <c r="O93" s="194">
        <v>2</v>
      </c>
      <c r="P93" s="195"/>
      <c r="Q93" s="194">
        <v>3</v>
      </c>
      <c r="R93" s="195"/>
    </row>
    <row r="94" spans="1:24" ht="16" thickBot="1" x14ac:dyDescent="0.25">
      <c r="A94" s="9"/>
      <c r="K94" s="11"/>
      <c r="L94" s="247"/>
      <c r="M94" s="75" t="s">
        <v>80</v>
      </c>
      <c r="N94" s="71" t="s">
        <v>81</v>
      </c>
      <c r="O94" s="71" t="s">
        <v>80</v>
      </c>
      <c r="P94" s="71" t="s">
        <v>81</v>
      </c>
      <c r="Q94" s="71" t="s">
        <v>80</v>
      </c>
      <c r="R94" s="71" t="s">
        <v>81</v>
      </c>
    </row>
    <row r="95" spans="1:24" ht="16" thickBot="1" x14ac:dyDescent="0.25">
      <c r="A95" s="9"/>
      <c r="B95" s="53"/>
      <c r="E95" s="54"/>
      <c r="F95" s="55"/>
      <c r="G95" s="36"/>
      <c r="K95" s="11"/>
      <c r="L95" s="133">
        <v>20</v>
      </c>
      <c r="M95" s="146">
        <v>20</v>
      </c>
      <c r="N95" s="146">
        <v>20.09</v>
      </c>
      <c r="O95" s="146">
        <v>20</v>
      </c>
      <c r="P95" s="146">
        <v>20.09</v>
      </c>
      <c r="Q95" s="146">
        <v>20</v>
      </c>
      <c r="R95" s="146">
        <v>20.09</v>
      </c>
    </row>
    <row r="96" spans="1:24" ht="16" thickBot="1" x14ac:dyDescent="0.25">
      <c r="A96" s="9"/>
      <c r="B96" s="53"/>
      <c r="E96" s="54"/>
      <c r="F96" s="55"/>
      <c r="G96" s="36"/>
      <c r="K96" s="11"/>
      <c r="L96" s="133">
        <v>30</v>
      </c>
      <c r="M96" s="146">
        <v>30</v>
      </c>
      <c r="N96" s="146">
        <v>31</v>
      </c>
      <c r="O96" s="146">
        <v>30</v>
      </c>
      <c r="P96" s="146">
        <v>31</v>
      </c>
      <c r="Q96" s="146">
        <v>30</v>
      </c>
      <c r="R96" s="146">
        <v>31</v>
      </c>
      <c r="S96" s="63"/>
      <c r="T96" s="64"/>
      <c r="U96" s="63"/>
      <c r="V96" s="63"/>
      <c r="W96" s="62"/>
    </row>
    <row r="97" spans="1:23" ht="16" thickBot="1" x14ac:dyDescent="0.25">
      <c r="A97" s="9"/>
      <c r="B97" s="53"/>
      <c r="E97" s="54"/>
      <c r="F97" s="55"/>
      <c r="G97" s="36"/>
      <c r="K97" s="11"/>
      <c r="L97" s="133">
        <v>40</v>
      </c>
      <c r="M97" s="146">
        <v>40</v>
      </c>
      <c r="N97" s="146">
        <v>39.799999999999997</v>
      </c>
      <c r="O97" s="146">
        <v>40</v>
      </c>
      <c r="P97" s="146">
        <v>39.799999999999997</v>
      </c>
      <c r="Q97" s="146">
        <v>40</v>
      </c>
      <c r="R97" s="146">
        <v>39.799999999999997</v>
      </c>
      <c r="S97" s="63"/>
      <c r="T97" s="64"/>
      <c r="U97" s="63"/>
      <c r="V97" s="63"/>
      <c r="W97" s="62"/>
    </row>
    <row r="98" spans="1:23" ht="16" thickBot="1" x14ac:dyDescent="0.25">
      <c r="A98" s="9"/>
      <c r="B98" s="53"/>
      <c r="E98" s="54"/>
      <c r="F98" s="55"/>
      <c r="G98" s="36"/>
      <c r="K98" s="11"/>
      <c r="L98" s="133">
        <v>50</v>
      </c>
      <c r="M98" s="146">
        <v>50</v>
      </c>
      <c r="N98" s="146">
        <v>50.8</v>
      </c>
      <c r="O98" s="146">
        <v>50</v>
      </c>
      <c r="P98" s="146">
        <v>50.8</v>
      </c>
      <c r="Q98" s="146">
        <v>50</v>
      </c>
      <c r="R98" s="146">
        <v>50.8</v>
      </c>
      <c r="S98" s="63"/>
      <c r="T98" s="64"/>
      <c r="U98" s="63"/>
      <c r="V98" s="63"/>
      <c r="W98" s="62"/>
    </row>
    <row r="99" spans="1:23" ht="16" thickBot="1" x14ac:dyDescent="0.25">
      <c r="A99" s="9"/>
      <c r="B99" s="53"/>
      <c r="E99" s="54"/>
      <c r="F99" s="55"/>
      <c r="G99" s="36"/>
      <c r="K99" s="11"/>
      <c r="L99" s="133">
        <v>60</v>
      </c>
      <c r="M99" s="149">
        <v>200</v>
      </c>
      <c r="N99" s="146">
        <v>202.6</v>
      </c>
      <c r="O99" s="149">
        <v>200</v>
      </c>
      <c r="P99" s="135">
        <v>202.6</v>
      </c>
      <c r="Q99" s="150">
        <v>200</v>
      </c>
      <c r="R99" s="135">
        <v>202.6</v>
      </c>
      <c r="S99" s="63"/>
      <c r="T99" s="64"/>
      <c r="U99" s="63"/>
      <c r="V99" s="63"/>
      <c r="W99" s="62"/>
    </row>
    <row r="100" spans="1:23" x14ac:dyDescent="0.2">
      <c r="A100" s="9"/>
      <c r="B100" s="53"/>
      <c r="E100" s="54"/>
      <c r="F100" s="55"/>
      <c r="G100" s="36"/>
      <c r="K100" s="11"/>
      <c r="L100" s="133">
        <v>220</v>
      </c>
      <c r="M100" s="149">
        <v>220</v>
      </c>
      <c r="N100" s="146">
        <v>222.9</v>
      </c>
      <c r="O100" s="149">
        <v>220</v>
      </c>
      <c r="P100" s="135">
        <v>222.9</v>
      </c>
      <c r="Q100" s="150">
        <v>220</v>
      </c>
      <c r="R100" s="135">
        <v>222.9</v>
      </c>
      <c r="S100" s="63"/>
      <c r="T100" s="64"/>
      <c r="U100" s="63"/>
      <c r="V100" s="63"/>
      <c r="W100" s="62"/>
    </row>
    <row r="101" spans="1:23" ht="16" thickBot="1" x14ac:dyDescent="0.25">
      <c r="A101" s="9"/>
      <c r="B101" s="53"/>
      <c r="E101" s="54"/>
      <c r="F101" s="55"/>
      <c r="G101" s="36"/>
      <c r="K101" s="11"/>
      <c r="L101" s="134">
        <v>80</v>
      </c>
      <c r="M101" s="108">
        <v>200.20599999999999</v>
      </c>
      <c r="N101" s="97">
        <v>200</v>
      </c>
      <c r="O101" s="108">
        <v>200.113</v>
      </c>
      <c r="P101" s="98">
        <v>200</v>
      </c>
      <c r="Q101" s="109">
        <v>200.12100000000001</v>
      </c>
      <c r="R101" s="98">
        <v>200</v>
      </c>
      <c r="S101" s="63"/>
      <c r="T101" s="64"/>
      <c r="U101" s="63"/>
      <c r="V101" s="63"/>
      <c r="W101" s="62"/>
    </row>
    <row r="102" spans="1:23" x14ac:dyDescent="0.2">
      <c r="A102" s="9"/>
      <c r="E102" s="56"/>
      <c r="K102" s="11"/>
      <c r="L102" s="179" t="s">
        <v>116</v>
      </c>
      <c r="M102" s="72">
        <f>AVERAGE(M95,O95,Q95)</f>
        <v>20</v>
      </c>
      <c r="N102" s="190" t="s">
        <v>86</v>
      </c>
      <c r="O102" s="77">
        <f>_xlfn.STDEV.S(M95,O95,Q95)</f>
        <v>0</v>
      </c>
      <c r="P102" s="62"/>
      <c r="R102" s="62"/>
      <c r="S102" s="62"/>
      <c r="T102" s="62"/>
      <c r="U102" s="62"/>
      <c r="V102" s="62"/>
      <c r="W102" s="62"/>
    </row>
    <row r="103" spans="1:23" x14ac:dyDescent="0.2">
      <c r="A103" s="9"/>
      <c r="E103" s="56"/>
      <c r="K103" s="11"/>
      <c r="L103" s="179"/>
      <c r="M103" s="72">
        <f t="shared" ref="M103:M108" si="20">AVERAGE(M96,O96,Q96)</f>
        <v>30</v>
      </c>
      <c r="N103" s="190"/>
      <c r="O103" s="77">
        <f t="shared" ref="O103:O108" si="21">_xlfn.STDEV.S(M96,O96,Q96)</f>
        <v>0</v>
      </c>
      <c r="P103" s="62"/>
      <c r="R103" s="62"/>
      <c r="S103" s="62"/>
      <c r="T103" s="62"/>
      <c r="U103" s="62"/>
      <c r="V103" s="62"/>
      <c r="W103" s="62"/>
    </row>
    <row r="104" spans="1:23" x14ac:dyDescent="0.2">
      <c r="A104" s="9"/>
      <c r="B104" s="130" t="s">
        <v>64</v>
      </c>
      <c r="C104" s="130"/>
      <c r="D104" s="130"/>
      <c r="E104" s="130"/>
      <c r="F104" s="130"/>
      <c r="G104" s="130"/>
      <c r="H104" s="130"/>
      <c r="I104" s="130"/>
      <c r="J104" s="130"/>
      <c r="K104" s="11"/>
      <c r="L104" s="179"/>
      <c r="M104" s="72">
        <f t="shared" si="20"/>
        <v>40</v>
      </c>
      <c r="N104" s="190"/>
      <c r="O104" s="77">
        <f t="shared" si="21"/>
        <v>0</v>
      </c>
      <c r="P104" s="62"/>
      <c r="R104" s="62"/>
      <c r="S104" s="62"/>
      <c r="T104" s="62"/>
      <c r="U104" s="62"/>
      <c r="V104" s="62"/>
      <c r="W104" s="62"/>
    </row>
    <row r="105" spans="1:23" x14ac:dyDescent="0.2">
      <c r="A105" s="9"/>
      <c r="B105" s="131" t="s">
        <v>156</v>
      </c>
      <c r="C105" s="131"/>
      <c r="D105" s="131"/>
      <c r="E105" s="131"/>
      <c r="F105" s="131"/>
      <c r="G105" s="131"/>
      <c r="H105" s="131"/>
      <c r="I105" s="131"/>
      <c r="J105" s="131"/>
      <c r="K105" s="11"/>
      <c r="L105" s="179"/>
      <c r="M105" s="72">
        <f t="shared" si="20"/>
        <v>50</v>
      </c>
      <c r="N105" s="190"/>
      <c r="O105" s="77">
        <f t="shared" si="21"/>
        <v>0</v>
      </c>
      <c r="P105" s="62"/>
      <c r="R105" s="62"/>
      <c r="S105" s="62"/>
      <c r="T105" s="62"/>
      <c r="U105" s="62"/>
      <c r="V105" s="62"/>
      <c r="W105" s="62"/>
    </row>
    <row r="106" spans="1:23" x14ac:dyDescent="0.2">
      <c r="A106" s="9"/>
      <c r="B106" s="131" t="s">
        <v>105</v>
      </c>
      <c r="C106" s="131"/>
      <c r="D106" s="131"/>
      <c r="E106" s="131"/>
      <c r="F106" s="131"/>
      <c r="G106" s="131"/>
      <c r="H106" s="131"/>
      <c r="I106" s="131"/>
      <c r="J106" s="131"/>
      <c r="K106" s="11"/>
      <c r="L106" s="179"/>
      <c r="M106" s="72">
        <f t="shared" si="20"/>
        <v>200</v>
      </c>
      <c r="N106" s="190"/>
      <c r="O106" s="77">
        <f t="shared" si="21"/>
        <v>0</v>
      </c>
      <c r="P106" s="62"/>
      <c r="R106" s="62"/>
      <c r="S106" s="62"/>
      <c r="T106" s="62"/>
      <c r="U106" s="62"/>
      <c r="V106" s="62"/>
      <c r="W106" s="62"/>
    </row>
    <row r="107" spans="1:23" x14ac:dyDescent="0.2">
      <c r="A107" s="9"/>
      <c r="B107" s="131" t="s">
        <v>157</v>
      </c>
      <c r="C107" s="131"/>
      <c r="D107" s="131"/>
      <c r="E107" s="131"/>
      <c r="F107" s="131"/>
      <c r="G107" s="131"/>
      <c r="H107" s="131"/>
      <c r="I107" s="131"/>
      <c r="J107" s="131"/>
      <c r="K107" s="11"/>
      <c r="L107" s="180"/>
      <c r="M107" s="72">
        <f t="shared" si="20"/>
        <v>220</v>
      </c>
      <c r="N107" s="191"/>
      <c r="O107" s="77">
        <f t="shared" si="21"/>
        <v>0</v>
      </c>
    </row>
    <row r="108" spans="1:23" ht="16" thickBot="1" x14ac:dyDescent="0.25">
      <c r="A108" s="9"/>
      <c r="B108" s="131" t="s">
        <v>158</v>
      </c>
      <c r="C108" s="131"/>
      <c r="D108" s="131"/>
      <c r="E108" s="131"/>
      <c r="F108" s="131"/>
      <c r="G108" s="131"/>
      <c r="H108" s="131"/>
      <c r="I108" s="131"/>
      <c r="J108" s="131"/>
      <c r="K108" s="11"/>
      <c r="L108" s="181"/>
      <c r="M108" s="72">
        <f t="shared" si="20"/>
        <v>200.14666666666665</v>
      </c>
      <c r="N108" s="191"/>
      <c r="O108" s="77">
        <f t="shared" si="21"/>
        <v>5.1539628765954922E-2</v>
      </c>
    </row>
    <row r="109" spans="1:23" x14ac:dyDescent="0.2">
      <c r="A109" s="9"/>
      <c r="B109" s="187" t="s">
        <v>53</v>
      </c>
      <c r="C109" s="187"/>
      <c r="D109" s="187"/>
      <c r="E109" s="187"/>
      <c r="F109" s="187"/>
      <c r="G109" s="187"/>
      <c r="H109" s="187"/>
      <c r="I109" s="187"/>
      <c r="J109" s="187"/>
      <c r="K109" s="11"/>
      <c r="L109" s="179" t="s">
        <v>85</v>
      </c>
      <c r="M109" s="72">
        <f>AVERAGE(N95,P95,R95)</f>
        <v>20.09</v>
      </c>
      <c r="N109" s="191" t="s">
        <v>87</v>
      </c>
      <c r="O109" s="74">
        <f>_xlfn.STDEV.S(N95,P95,R95)</f>
        <v>0</v>
      </c>
      <c r="P109" s="1"/>
    </row>
    <row r="110" spans="1:23" x14ac:dyDescent="0.2">
      <c r="A110" s="9"/>
      <c r="B110" s="187" t="s">
        <v>159</v>
      </c>
      <c r="C110" s="187"/>
      <c r="D110" s="187"/>
      <c r="E110" s="187"/>
      <c r="F110" s="187"/>
      <c r="G110" s="187"/>
      <c r="H110" s="187"/>
      <c r="I110" s="187"/>
      <c r="J110" s="187"/>
      <c r="K110" s="11"/>
      <c r="L110" s="180"/>
      <c r="M110" s="72">
        <f t="shared" ref="M110:M115" si="22">AVERAGE(N96,P96,R96)</f>
        <v>31</v>
      </c>
      <c r="N110" s="191"/>
      <c r="O110" s="74">
        <f t="shared" ref="O110:O115" si="23">_xlfn.STDEV.S(N96,P96,R96)</f>
        <v>0</v>
      </c>
      <c r="P110" s="1"/>
    </row>
    <row r="111" spans="1:23" x14ac:dyDescent="0.2">
      <c r="A111" s="9"/>
      <c r="B111" s="187" t="s">
        <v>106</v>
      </c>
      <c r="C111" s="187"/>
      <c r="D111" s="187"/>
      <c r="E111" s="187"/>
      <c r="F111" s="187"/>
      <c r="G111" s="187"/>
      <c r="H111" s="187"/>
      <c r="I111" s="187"/>
      <c r="J111" s="187"/>
      <c r="K111" s="11"/>
      <c r="L111" s="182"/>
      <c r="M111" s="72">
        <f t="shared" si="22"/>
        <v>39.799999999999997</v>
      </c>
      <c r="N111" s="196"/>
      <c r="O111" s="74">
        <f t="shared" si="23"/>
        <v>0</v>
      </c>
      <c r="P111" s="1"/>
    </row>
    <row r="112" spans="1:23" x14ac:dyDescent="0.2">
      <c r="A112" s="9"/>
      <c r="B112" s="187" t="s">
        <v>178</v>
      </c>
      <c r="C112" s="187"/>
      <c r="D112" s="187"/>
      <c r="E112" s="187"/>
      <c r="F112" s="187"/>
      <c r="G112" s="187"/>
      <c r="H112" s="187"/>
      <c r="I112" s="187"/>
      <c r="J112" s="187"/>
      <c r="K112" s="11"/>
      <c r="L112" s="182"/>
      <c r="M112" s="72">
        <f t="shared" si="22"/>
        <v>50.79999999999999</v>
      </c>
      <c r="N112" s="196"/>
      <c r="O112" s="74">
        <f t="shared" si="23"/>
        <v>8.7023357152673167E-15</v>
      </c>
      <c r="P112" s="1"/>
    </row>
    <row r="113" spans="1:29" ht="16" thickBot="1" x14ac:dyDescent="0.25">
      <c r="A113" s="9"/>
      <c r="B113" s="187" t="s">
        <v>107</v>
      </c>
      <c r="C113" s="187"/>
      <c r="D113" s="187"/>
      <c r="E113" s="187"/>
      <c r="F113" s="187"/>
      <c r="G113" s="187"/>
      <c r="H113" s="187"/>
      <c r="I113" s="187"/>
      <c r="J113" s="187"/>
      <c r="K113" s="11"/>
      <c r="L113" s="182"/>
      <c r="M113" s="72">
        <f t="shared" si="22"/>
        <v>202.6</v>
      </c>
      <c r="N113" s="196"/>
      <c r="O113" s="74">
        <f t="shared" si="23"/>
        <v>0</v>
      </c>
      <c r="P113" s="1"/>
    </row>
    <row r="114" spans="1:29" ht="16" thickTop="1" x14ac:dyDescent="0.2">
      <c r="A114" s="9"/>
      <c r="B114" s="198" t="s">
        <v>160</v>
      </c>
      <c r="C114" s="198"/>
      <c r="D114" s="198"/>
      <c r="E114" s="198"/>
      <c r="F114" s="198"/>
      <c r="G114" s="198"/>
      <c r="H114" s="198"/>
      <c r="I114" s="198"/>
      <c r="J114" s="198"/>
      <c r="K114" s="11"/>
      <c r="L114" s="182"/>
      <c r="M114" s="72">
        <f t="shared" si="22"/>
        <v>222.9</v>
      </c>
      <c r="N114" s="196"/>
      <c r="O114" s="74">
        <f t="shared" si="23"/>
        <v>0</v>
      </c>
      <c r="P114" s="1"/>
    </row>
    <row r="115" spans="1:29" ht="16" thickBot="1" x14ac:dyDescent="0.25">
      <c r="A115" s="9"/>
      <c r="B115" s="187" t="s">
        <v>44</v>
      </c>
      <c r="C115" s="187"/>
      <c r="D115" s="187"/>
      <c r="E115" s="187"/>
      <c r="F115" s="187"/>
      <c r="G115" s="187"/>
      <c r="H115" s="187"/>
      <c r="I115" s="187"/>
      <c r="J115" s="187"/>
      <c r="K115" s="11"/>
      <c r="L115" s="181"/>
      <c r="M115" s="72">
        <f t="shared" si="22"/>
        <v>200</v>
      </c>
      <c r="N115" s="197"/>
      <c r="O115" s="74">
        <f t="shared" si="23"/>
        <v>0</v>
      </c>
      <c r="P115" s="1"/>
    </row>
    <row r="116" spans="1:29" x14ac:dyDescent="0.2">
      <c r="A116" s="9"/>
      <c r="B116" s="185" t="s">
        <v>108</v>
      </c>
      <c r="C116" s="187"/>
      <c r="D116" s="187"/>
      <c r="E116" s="187"/>
      <c r="F116" s="187"/>
      <c r="G116" s="187"/>
      <c r="H116" s="187"/>
      <c r="I116" s="187"/>
      <c r="J116" s="187"/>
      <c r="K116" s="11"/>
      <c r="L116" s="1"/>
      <c r="M116" s="1"/>
      <c r="N116" s="1"/>
      <c r="O116" s="1"/>
      <c r="P116" s="1"/>
    </row>
    <row r="117" spans="1:29" x14ac:dyDescent="0.2">
      <c r="A117" s="9"/>
      <c r="B117" s="187" t="s">
        <v>109</v>
      </c>
      <c r="C117" s="187"/>
      <c r="D117" s="187"/>
      <c r="E117" s="187"/>
      <c r="F117" s="187"/>
      <c r="G117" s="187"/>
      <c r="H117" s="187"/>
      <c r="I117" s="187"/>
      <c r="J117" s="187"/>
      <c r="K117" s="11"/>
      <c r="L117" s="1"/>
      <c r="M117" s="1"/>
      <c r="N117" s="1"/>
      <c r="O117" s="1"/>
      <c r="P117" s="1"/>
    </row>
    <row r="118" spans="1:29" s="3" customFormat="1" x14ac:dyDescent="0.2">
      <c r="A118" s="9"/>
      <c r="B118" s="185" t="s">
        <v>54</v>
      </c>
      <c r="C118" s="186"/>
      <c r="D118" s="186"/>
      <c r="E118" s="186"/>
      <c r="F118" s="186"/>
      <c r="G118" s="186"/>
      <c r="H118" s="186"/>
      <c r="I118" s="186"/>
      <c r="J118" s="186"/>
      <c r="K118" s="33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1:29" s="3" customFormat="1" x14ac:dyDescent="0.2">
      <c r="A119" s="9"/>
      <c r="B119" s="225" t="s">
        <v>110</v>
      </c>
      <c r="C119" s="187"/>
      <c r="D119" s="187"/>
      <c r="E119" s="187"/>
      <c r="F119" s="187"/>
      <c r="G119" s="187"/>
      <c r="H119" s="187"/>
      <c r="I119" s="187"/>
      <c r="J119" s="187"/>
      <c r="K119" s="33"/>
      <c r="Q119" s="4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1:29" s="3" customFormat="1" x14ac:dyDescent="0.2">
      <c r="A120" s="9"/>
      <c r="B120" s="187" t="s">
        <v>111</v>
      </c>
      <c r="C120" s="187"/>
      <c r="D120" s="187"/>
      <c r="E120" s="187"/>
      <c r="F120" s="187"/>
      <c r="G120" s="187"/>
      <c r="H120" s="187"/>
      <c r="I120" s="187"/>
      <c r="J120" s="187"/>
      <c r="K120" s="33"/>
      <c r="Q120" s="4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1:29" s="3" customFormat="1" x14ac:dyDescent="0.2">
      <c r="A121" s="34"/>
      <c r="B121" s="187" t="s">
        <v>179</v>
      </c>
      <c r="C121" s="187"/>
      <c r="D121" s="187"/>
      <c r="E121" s="187"/>
      <c r="F121" s="187"/>
      <c r="G121" s="187"/>
      <c r="H121" s="187"/>
      <c r="I121" s="187"/>
      <c r="J121" s="187"/>
      <c r="K121" s="33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1:29" s="3" customFormat="1" x14ac:dyDescent="0.2">
      <c r="A122" s="34"/>
      <c r="B122" s="187" t="s">
        <v>112</v>
      </c>
      <c r="C122" s="187"/>
      <c r="D122" s="187"/>
      <c r="E122" s="187"/>
      <c r="F122" s="187"/>
      <c r="G122" s="187"/>
      <c r="H122" s="187"/>
      <c r="I122" s="187"/>
      <c r="J122" s="187"/>
      <c r="K122" s="33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1:29" x14ac:dyDescent="0.2">
      <c r="A123" s="34"/>
      <c r="B123" s="118"/>
      <c r="C123" s="118"/>
      <c r="D123" s="118"/>
      <c r="E123" s="118"/>
      <c r="F123" s="118"/>
      <c r="G123" s="118"/>
      <c r="H123" s="118"/>
      <c r="I123" s="118"/>
      <c r="J123" s="118"/>
      <c r="K123" s="33"/>
    </row>
    <row r="124" spans="1:29" ht="16" x14ac:dyDescent="0.2">
      <c r="A124" s="34"/>
      <c r="B124" s="118"/>
      <c r="C124" s="118"/>
      <c r="D124" s="118"/>
      <c r="E124" s="218" t="s">
        <v>67</v>
      </c>
      <c r="F124" s="218"/>
      <c r="G124" s="218"/>
      <c r="H124" s="218"/>
      <c r="I124" s="118"/>
      <c r="J124" s="118"/>
      <c r="K124" s="33"/>
    </row>
    <row r="125" spans="1:29" x14ac:dyDescent="0.2">
      <c r="A125" s="9"/>
      <c r="B125" s="226"/>
      <c r="C125" s="226"/>
      <c r="E125" s="229" t="s">
        <v>68</v>
      </c>
      <c r="F125" s="229"/>
      <c r="G125" s="229"/>
      <c r="H125" s="229"/>
      <c r="K125" s="33"/>
    </row>
    <row r="126" spans="1:29" ht="16" thickBot="1" x14ac:dyDescent="0.25">
      <c r="A126" s="44" t="s">
        <v>65</v>
      </c>
      <c r="B126" s="21"/>
      <c r="C126" s="21"/>
      <c r="D126" s="224" t="s">
        <v>98</v>
      </c>
      <c r="E126" s="224"/>
      <c r="F126" s="224"/>
      <c r="G126" s="224"/>
      <c r="H126" s="21"/>
      <c r="I126" s="21"/>
      <c r="J126" s="227" t="s">
        <v>66</v>
      </c>
      <c r="K126" s="228"/>
    </row>
    <row r="127" spans="1:29" ht="16" thickTop="1" x14ac:dyDescent="0.2">
      <c r="E127" s="110"/>
      <c r="F127" s="110"/>
      <c r="G127" s="110"/>
    </row>
    <row r="128" spans="1:29" x14ac:dyDescent="0.2">
      <c r="C128" s="162" t="s">
        <v>175</v>
      </c>
      <c r="D128" s="162"/>
      <c r="E128" s="162"/>
      <c r="F128" s="162"/>
      <c r="G128" s="162"/>
      <c r="H128" s="162"/>
      <c r="I128" s="162"/>
      <c r="J128" s="10"/>
    </row>
    <row r="129" spans="3:10" x14ac:dyDescent="0.2">
      <c r="C129" s="163" t="s">
        <v>176</v>
      </c>
      <c r="D129" s="163"/>
      <c r="E129" s="163"/>
      <c r="F129" s="163"/>
      <c r="G129" s="163"/>
      <c r="H129" s="163"/>
      <c r="I129" s="163"/>
      <c r="J129" s="12"/>
    </row>
    <row r="130" spans="3:10" x14ac:dyDescent="0.2">
      <c r="C130" s="161" t="s">
        <v>177</v>
      </c>
      <c r="D130" s="161"/>
      <c r="E130" s="161"/>
      <c r="F130" s="161"/>
      <c r="G130" s="161"/>
      <c r="H130" s="161"/>
      <c r="I130" s="161"/>
      <c r="J130" s="13"/>
    </row>
    <row r="131" spans="3:10" ht="20" x14ac:dyDescent="0.2">
      <c r="C131" s="244" t="s">
        <v>113</v>
      </c>
      <c r="D131" s="244"/>
      <c r="E131" s="244"/>
      <c r="F131" s="244"/>
      <c r="G131" s="244"/>
      <c r="H131" s="244"/>
      <c r="I131" s="244"/>
      <c r="J131" s="111"/>
    </row>
    <row r="132" spans="3:10" x14ac:dyDescent="0.2">
      <c r="D132" s="20"/>
      <c r="E132" s="217" t="s">
        <v>114</v>
      </c>
      <c r="F132" s="217"/>
      <c r="G132" s="217"/>
      <c r="H132" s="3"/>
      <c r="I132" s="3"/>
    </row>
  </sheetData>
  <mergeCells count="110">
    <mergeCell ref="D57:J57"/>
    <mergeCell ref="H31:I31"/>
    <mergeCell ref="H32:I32"/>
    <mergeCell ref="I10:J10"/>
    <mergeCell ref="D31:E31"/>
    <mergeCell ref="E18:F18"/>
    <mergeCell ref="L81:L82"/>
    <mergeCell ref="C131:I131"/>
    <mergeCell ref="L92:L94"/>
    <mergeCell ref="H33:I33"/>
    <mergeCell ref="H34:I34"/>
    <mergeCell ref="C84:E84"/>
    <mergeCell ref="C87:E87"/>
    <mergeCell ref="C85:E85"/>
    <mergeCell ref="F85:H85"/>
    <mergeCell ref="C86:E86"/>
    <mergeCell ref="F86:H86"/>
    <mergeCell ref="C43:E43"/>
    <mergeCell ref="E15:K16"/>
    <mergeCell ref="C42:E42"/>
    <mergeCell ref="E132:G132"/>
    <mergeCell ref="E124:H124"/>
    <mergeCell ref="H60:J60"/>
    <mergeCell ref="B121:J121"/>
    <mergeCell ref="B122:J122"/>
    <mergeCell ref="C128:I128"/>
    <mergeCell ref="C129:I129"/>
    <mergeCell ref="C130:I130"/>
    <mergeCell ref="J66:K66"/>
    <mergeCell ref="I76:J76"/>
    <mergeCell ref="C71:I72"/>
    <mergeCell ref="D126:G126"/>
    <mergeCell ref="B119:J119"/>
    <mergeCell ref="B120:J120"/>
    <mergeCell ref="B125:C125"/>
    <mergeCell ref="J126:K126"/>
    <mergeCell ref="E125:H125"/>
    <mergeCell ref="F82:H82"/>
    <mergeCell ref="F83:H83"/>
    <mergeCell ref="F84:H84"/>
    <mergeCell ref="F87:H87"/>
    <mergeCell ref="C81:H81"/>
    <mergeCell ref="C82:E82"/>
    <mergeCell ref="C83:E83"/>
    <mergeCell ref="C2:I2"/>
    <mergeCell ref="C3:I3"/>
    <mergeCell ref="C4:I4"/>
    <mergeCell ref="C6:I6"/>
    <mergeCell ref="I7:J7"/>
    <mergeCell ref="I8:J8"/>
    <mergeCell ref="B10:C10"/>
    <mergeCell ref="A12:K12"/>
    <mergeCell ref="E13:K13"/>
    <mergeCell ref="O92:P92"/>
    <mergeCell ref="O93:P93"/>
    <mergeCell ref="S81:S82"/>
    <mergeCell ref="V81:V82"/>
    <mergeCell ref="O81:O82"/>
    <mergeCell ref="T81:T82"/>
    <mergeCell ref="U81:U82"/>
    <mergeCell ref="R81:R82"/>
    <mergeCell ref="P81:P82"/>
    <mergeCell ref="X81:X82"/>
    <mergeCell ref="L102:L108"/>
    <mergeCell ref="L109:L115"/>
    <mergeCell ref="J81:J82"/>
    <mergeCell ref="B118:J118"/>
    <mergeCell ref="B115:J115"/>
    <mergeCell ref="I81:I82"/>
    <mergeCell ref="B112:J112"/>
    <mergeCell ref="B109:J109"/>
    <mergeCell ref="B110:J110"/>
    <mergeCell ref="B111:J111"/>
    <mergeCell ref="B116:J116"/>
    <mergeCell ref="B117:J117"/>
    <mergeCell ref="N102:N108"/>
    <mergeCell ref="Q92:R92"/>
    <mergeCell ref="Q93:R93"/>
    <mergeCell ref="N109:N115"/>
    <mergeCell ref="B113:J113"/>
    <mergeCell ref="B114:J114"/>
    <mergeCell ref="M93:N93"/>
    <mergeCell ref="W81:W82"/>
    <mergeCell ref="Q81:Q82"/>
    <mergeCell ref="M92:N92"/>
    <mergeCell ref="M81:M82"/>
    <mergeCell ref="N11:Q11"/>
    <mergeCell ref="B81:B82"/>
    <mergeCell ref="D33:E33"/>
    <mergeCell ref="E73:F73"/>
    <mergeCell ref="B62:E62"/>
    <mergeCell ref="C70:I70"/>
    <mergeCell ref="C68:I68"/>
    <mergeCell ref="C69:I69"/>
    <mergeCell ref="F53:G53"/>
    <mergeCell ref="E35:H35"/>
    <mergeCell ref="E36:F36"/>
    <mergeCell ref="E50:H50"/>
    <mergeCell ref="E51:F51"/>
    <mergeCell ref="D53:E53"/>
    <mergeCell ref="D54:E54"/>
    <mergeCell ref="B65:E65"/>
    <mergeCell ref="G55:H55"/>
    <mergeCell ref="G65:J65"/>
    <mergeCell ref="G62:J62"/>
    <mergeCell ref="H53:I53"/>
    <mergeCell ref="H54:I54"/>
    <mergeCell ref="E14:K14"/>
    <mergeCell ref="D56:J56"/>
    <mergeCell ref="N81:N82"/>
  </mergeCells>
  <conditionalFormatting sqref="I44:I45">
    <cfRule type="expression" dxfId="0" priority="1">
      <formula>$I$44&lt;$J$31</formula>
    </cfRule>
  </conditionalFormatting>
  <printOptions horizontalCentered="1" verticalCentered="1"/>
  <pageMargins left="0.31496062992125984" right="0.31496062992125984" top="0.35433070866141736" bottom="0.35433070866141736" header="0.31496062992125984" footer="0.31496062992125984"/>
  <pageSetup scale="79" orientation="portrait" r:id="rId1"/>
  <rowBreaks count="2" manualBreakCount="2">
    <brk id="66" max="10" man="1"/>
    <brk id="126" max="1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0000000}">
          <x14:formula1>
            <xm:f>'Registro de clientes'!$B$7:$B$11</xm:f>
          </x14:formula1>
          <xm:sqref>D57:J57</xm:sqref>
        </x14:dataValidation>
        <x14:dataValidation type="list" allowBlank="1" showInputMessage="1" showErrorMessage="1" xr:uid="{00000000-0002-0000-0000-000001000000}">
          <x14:formula1>
            <xm:f>'Registro de clientes'!$B$1:$B$5</xm:f>
          </x14:formula1>
          <xm:sqref>D56:J56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opLeftCell="A19" workbookViewId="0">
      <selection activeCell="B29" sqref="B29"/>
    </sheetView>
  </sheetViews>
  <sheetFormatPr baseColWidth="10" defaultRowHeight="15" x14ac:dyDescent="0.2"/>
  <cols>
    <col min="1" max="1" width="3" bestFit="1" customWidth="1"/>
    <col min="2" max="2" width="78.1640625" bestFit="1" customWidth="1"/>
    <col min="3" max="3" width="27.6640625" bestFit="1" customWidth="1"/>
    <col min="4" max="4" width="70.5" bestFit="1" customWidth="1"/>
  </cols>
  <sheetData>
    <row r="1" spans="1:4" x14ac:dyDescent="0.2">
      <c r="B1" t="s">
        <v>121</v>
      </c>
    </row>
    <row r="2" spans="1:4" x14ac:dyDescent="0.2">
      <c r="B2" t="s">
        <v>119</v>
      </c>
    </row>
    <row r="3" spans="1:4" x14ac:dyDescent="0.2">
      <c r="B3" t="s">
        <v>122</v>
      </c>
    </row>
    <row r="4" spans="1:4" x14ac:dyDescent="0.2">
      <c r="B4" t="s">
        <v>161</v>
      </c>
    </row>
    <row r="5" spans="1:4" x14ac:dyDescent="0.2">
      <c r="B5" t="s">
        <v>123</v>
      </c>
    </row>
    <row r="7" spans="1:4" x14ac:dyDescent="0.2">
      <c r="B7" t="s">
        <v>124</v>
      </c>
    </row>
    <row r="8" spans="1:4" x14ac:dyDescent="0.2">
      <c r="B8" t="s">
        <v>120</v>
      </c>
    </row>
    <row r="9" spans="1:4" x14ac:dyDescent="0.2">
      <c r="B9" t="s">
        <v>125</v>
      </c>
    </row>
    <row r="11" spans="1:4" x14ac:dyDescent="0.2">
      <c r="B11" t="s">
        <v>126</v>
      </c>
    </row>
    <row r="15" spans="1:4" x14ac:dyDescent="0.2">
      <c r="A15" s="114"/>
      <c r="B15" s="115" t="s">
        <v>132</v>
      </c>
      <c r="C15" s="115" t="s">
        <v>133</v>
      </c>
      <c r="D15" s="115" t="s">
        <v>134</v>
      </c>
    </row>
    <row r="16" spans="1:4" x14ac:dyDescent="0.2">
      <c r="A16" s="73">
        <v>1</v>
      </c>
      <c r="B16" s="116" t="s">
        <v>135</v>
      </c>
      <c r="C16" s="116" t="s">
        <v>136</v>
      </c>
      <c r="D16" s="116" t="s">
        <v>137</v>
      </c>
    </row>
    <row r="17" spans="1:4" x14ac:dyDescent="0.2">
      <c r="A17" s="73">
        <v>2</v>
      </c>
      <c r="B17" s="116" t="s">
        <v>135</v>
      </c>
      <c r="C17" s="116" t="s">
        <v>138</v>
      </c>
      <c r="D17" s="116" t="s">
        <v>137</v>
      </c>
    </row>
    <row r="18" spans="1:4" x14ac:dyDescent="0.2">
      <c r="A18" s="73">
        <v>3</v>
      </c>
      <c r="B18" s="116" t="s">
        <v>135</v>
      </c>
      <c r="C18" s="116" t="s">
        <v>139</v>
      </c>
      <c r="D18" s="116" t="s">
        <v>140</v>
      </c>
    </row>
    <row r="19" spans="1:4" x14ac:dyDescent="0.2">
      <c r="A19" s="73">
        <v>4</v>
      </c>
      <c r="B19" s="116" t="s">
        <v>135</v>
      </c>
      <c r="C19" s="116" t="s">
        <v>141</v>
      </c>
      <c r="D19" s="116" t="s">
        <v>140</v>
      </c>
    </row>
    <row r="20" spans="1:4" x14ac:dyDescent="0.2">
      <c r="A20" s="73">
        <v>5</v>
      </c>
      <c r="B20" s="116" t="s">
        <v>142</v>
      </c>
      <c r="C20" s="116"/>
      <c r="D20" s="116" t="s">
        <v>143</v>
      </c>
    </row>
    <row r="21" spans="1:4" x14ac:dyDescent="0.2">
      <c r="A21" s="73">
        <v>6</v>
      </c>
      <c r="B21" s="116" t="s">
        <v>144</v>
      </c>
      <c r="C21" s="116" t="s">
        <v>145</v>
      </c>
      <c r="D21" s="116" t="s">
        <v>146</v>
      </c>
    </row>
    <row r="22" spans="1:4" x14ac:dyDescent="0.2">
      <c r="A22" s="73">
        <v>7</v>
      </c>
      <c r="B22" s="116" t="s">
        <v>147</v>
      </c>
      <c r="C22" s="116"/>
      <c r="D22" s="116" t="s">
        <v>148</v>
      </c>
    </row>
    <row r="23" spans="1:4" x14ac:dyDescent="0.2">
      <c r="A23" s="73">
        <v>8</v>
      </c>
      <c r="B23" s="116" t="s">
        <v>149</v>
      </c>
      <c r="C23" s="116" t="s">
        <v>150</v>
      </c>
      <c r="D23" s="116" t="s">
        <v>151</v>
      </c>
    </row>
    <row r="24" spans="1:4" x14ac:dyDescent="0.2">
      <c r="A24" s="73">
        <v>9</v>
      </c>
      <c r="B24" s="116"/>
      <c r="C24" s="116"/>
      <c r="D24" s="116"/>
    </row>
    <row r="25" spans="1:4" x14ac:dyDescent="0.2">
      <c r="A25" s="73">
        <v>10</v>
      </c>
      <c r="B25" s="116"/>
      <c r="C25" s="116"/>
      <c r="D25" s="116"/>
    </row>
    <row r="26" spans="1:4" x14ac:dyDescent="0.2">
      <c r="A26" s="73">
        <v>11</v>
      </c>
      <c r="B26" s="116"/>
      <c r="C26" s="116"/>
      <c r="D26" s="116"/>
    </row>
    <row r="27" spans="1:4" x14ac:dyDescent="0.2">
      <c r="A27" s="73">
        <v>12</v>
      </c>
      <c r="B27" s="116"/>
      <c r="C27" s="116"/>
      <c r="D27" s="116"/>
    </row>
    <row r="28" spans="1:4" x14ac:dyDescent="0.2">
      <c r="A28" s="73">
        <v>13</v>
      </c>
      <c r="B28" s="116" t="s">
        <v>152</v>
      </c>
      <c r="C28" s="116" t="s">
        <v>153</v>
      </c>
      <c r="D28" s="116" t="s">
        <v>154</v>
      </c>
    </row>
    <row r="29" spans="1:4" s="139" customFormat="1" x14ac:dyDescent="0.2">
      <c r="A29" s="137">
        <v>14</v>
      </c>
      <c r="B29" s="138" t="s">
        <v>163</v>
      </c>
      <c r="C29" s="138" t="s">
        <v>164</v>
      </c>
      <c r="D29" s="138" t="s">
        <v>165</v>
      </c>
    </row>
    <row r="30" spans="1:4" x14ac:dyDescent="0.2">
      <c r="A30" s="73">
        <v>15</v>
      </c>
      <c r="B30" s="116"/>
      <c r="C30" s="116"/>
      <c r="D30" s="116"/>
    </row>
    <row r="31" spans="1:4" x14ac:dyDescent="0.2">
      <c r="A31" s="73">
        <v>16</v>
      </c>
      <c r="B31" s="116"/>
      <c r="C31" s="116"/>
      <c r="D31" s="116"/>
    </row>
    <row r="32" spans="1:4" x14ac:dyDescent="0.2">
      <c r="A32" s="73">
        <v>17</v>
      </c>
      <c r="B32" s="116"/>
      <c r="C32" s="116"/>
      <c r="D32" s="116"/>
    </row>
    <row r="33" spans="1:4" x14ac:dyDescent="0.2">
      <c r="A33" s="73">
        <v>18</v>
      </c>
      <c r="B33" s="116"/>
      <c r="C33" s="116"/>
      <c r="D33" s="116"/>
    </row>
    <row r="34" spans="1:4" x14ac:dyDescent="0.2">
      <c r="A34" s="73">
        <v>19</v>
      </c>
      <c r="B34" s="116"/>
      <c r="C34" s="116"/>
      <c r="D34" s="116"/>
    </row>
    <row r="35" spans="1:4" x14ac:dyDescent="0.2">
      <c r="A35" s="73">
        <v>20</v>
      </c>
      <c r="B35" s="116"/>
      <c r="C35" s="116"/>
      <c r="D35" s="116"/>
    </row>
    <row r="36" spans="1:4" x14ac:dyDescent="0.2">
      <c r="A36" s="73">
        <v>21</v>
      </c>
      <c r="B36" s="116"/>
      <c r="C36" s="116"/>
      <c r="D36" s="116"/>
    </row>
    <row r="37" spans="1:4" x14ac:dyDescent="0.2">
      <c r="A37" s="73">
        <v>22</v>
      </c>
      <c r="B37" s="116"/>
      <c r="C37" s="116"/>
      <c r="D37" s="116"/>
    </row>
    <row r="38" spans="1:4" x14ac:dyDescent="0.2">
      <c r="A38" s="73">
        <v>23</v>
      </c>
      <c r="B38" s="116"/>
      <c r="C38" s="116"/>
      <c r="D38" s="116"/>
    </row>
    <row r="39" spans="1:4" x14ac:dyDescent="0.2">
      <c r="A39" s="73">
        <v>24</v>
      </c>
      <c r="B39" s="116"/>
      <c r="C39" s="116"/>
      <c r="D39" s="116"/>
    </row>
    <row r="40" spans="1:4" x14ac:dyDescent="0.2">
      <c r="A40" s="73">
        <v>25</v>
      </c>
      <c r="B40" s="116"/>
      <c r="C40" s="116"/>
      <c r="D40" s="116"/>
    </row>
    <row r="41" spans="1:4" x14ac:dyDescent="0.2">
      <c r="A41" s="73">
        <v>26</v>
      </c>
      <c r="B41" s="116"/>
      <c r="C41" s="116"/>
      <c r="D41" s="116"/>
    </row>
    <row r="42" spans="1:4" x14ac:dyDescent="0.2">
      <c r="A42" s="73">
        <v>27</v>
      </c>
      <c r="B42" s="116"/>
      <c r="C42" s="116"/>
      <c r="D42" s="116"/>
    </row>
    <row r="43" spans="1:4" x14ac:dyDescent="0.2">
      <c r="A43" s="73">
        <v>28</v>
      </c>
      <c r="B43" s="116"/>
      <c r="C43" s="116"/>
      <c r="D43" s="116"/>
    </row>
    <row r="44" spans="1:4" x14ac:dyDescent="0.2">
      <c r="A44" s="73">
        <v>29</v>
      </c>
      <c r="B44" s="116"/>
      <c r="C44" s="116"/>
      <c r="D44" s="116"/>
    </row>
    <row r="45" spans="1:4" x14ac:dyDescent="0.2">
      <c r="A45" s="73">
        <v>30</v>
      </c>
      <c r="B45" s="116"/>
      <c r="C45" s="116"/>
      <c r="D45" s="116"/>
    </row>
    <row r="46" spans="1:4" x14ac:dyDescent="0.2">
      <c r="A46" s="73">
        <v>31</v>
      </c>
      <c r="B46" s="116"/>
      <c r="C46" s="116"/>
      <c r="D46" s="116"/>
    </row>
    <row r="47" spans="1:4" x14ac:dyDescent="0.2">
      <c r="A47" s="73"/>
      <c r="B47" s="116"/>
      <c r="C47" s="116"/>
      <c r="D47" s="116"/>
    </row>
    <row r="48" spans="1:4" x14ac:dyDescent="0.2">
      <c r="A48" s="73"/>
      <c r="B48" s="116"/>
      <c r="C48" s="116"/>
      <c r="D48" s="116"/>
    </row>
    <row r="49" spans="1:4" x14ac:dyDescent="0.2">
      <c r="A49" s="73"/>
      <c r="B49" s="116"/>
      <c r="C49" s="116"/>
      <c r="D49" s="116"/>
    </row>
    <row r="50" spans="1:4" x14ac:dyDescent="0.2">
      <c r="A50" s="73"/>
      <c r="B50" s="116"/>
      <c r="C50" s="116"/>
      <c r="D50" s="116"/>
    </row>
    <row r="51" spans="1:4" x14ac:dyDescent="0.2">
      <c r="A51" s="73"/>
      <c r="B51" s="116"/>
      <c r="C51" s="116"/>
      <c r="D51" s="1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Temperatura TLD</vt:lpstr>
      <vt:lpstr>Registro de clientes</vt:lpstr>
      <vt:lpstr>'Temperatura TLD'!Print_Area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Saul  Cortes</cp:lastModifiedBy>
  <cp:lastPrinted>2026-02-12T18:35:49Z</cp:lastPrinted>
  <dcterms:created xsi:type="dcterms:W3CDTF">2017-12-19T21:50:44Z</dcterms:created>
  <dcterms:modified xsi:type="dcterms:W3CDTF">2026-07-21T19:31:35Z</dcterms:modified>
</cp:coreProperties>
</file>